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iya\Pictures\Collegework\Portfolio\Ocean Carriers Case Study (Financial Management)\"/>
    </mc:Choice>
  </mc:AlternateContent>
  <xr:revisionPtr revIDLastSave="0" documentId="8_{A71D5C3A-B529-400C-856F-B2103507DF5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25 year" sheetId="2" r:id="rId1"/>
    <sheet name="15 year" sheetId="8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4" i="2" l="1"/>
  <c r="AF33" i="2"/>
  <c r="AF33" i="8"/>
  <c r="J32" i="2"/>
  <c r="J28" i="2"/>
  <c r="J29" i="2"/>
  <c r="J30" i="2"/>
  <c r="J31" i="2"/>
  <c r="J27" i="2"/>
  <c r="J23" i="2"/>
  <c r="J24" i="2"/>
  <c r="J25" i="2"/>
  <c r="J26" i="2"/>
  <c r="J22" i="2"/>
  <c r="J18" i="2"/>
  <c r="J19" i="2"/>
  <c r="J20" i="2"/>
  <c r="J21" i="2"/>
  <c r="J17" i="2"/>
  <c r="J13" i="2"/>
  <c r="J14" i="2"/>
  <c r="J15" i="2"/>
  <c r="J16" i="2"/>
  <c r="J12" i="2"/>
  <c r="I9" i="2"/>
  <c r="L9" i="2" s="1"/>
  <c r="I10" i="2"/>
  <c r="K10" i="2" s="1"/>
  <c r="O10" i="2" s="1"/>
  <c r="I21" i="2"/>
  <c r="K21" i="2" s="1"/>
  <c r="O21" i="2" s="1"/>
  <c r="I22" i="2"/>
  <c r="L22" i="2" s="1"/>
  <c r="I8" i="2"/>
  <c r="K8" i="2" s="1"/>
  <c r="O5" i="8"/>
  <c r="O6" i="8"/>
  <c r="O7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8" i="8"/>
  <c r="N22" i="8"/>
  <c r="K5" i="8"/>
  <c r="AE5" i="8"/>
  <c r="K6" i="8"/>
  <c r="S6" i="8"/>
  <c r="AE6" i="8"/>
  <c r="AF6" i="8"/>
  <c r="K7" i="8"/>
  <c r="S7" i="8"/>
  <c r="AE7" i="8"/>
  <c r="AF7" i="8"/>
  <c r="G8" i="8"/>
  <c r="R8" i="8"/>
  <c r="R9" i="8" s="1"/>
  <c r="S8" i="8"/>
  <c r="Z8" i="8"/>
  <c r="AA8" i="8"/>
  <c r="AA9" i="8" s="1"/>
  <c r="AB8" i="8"/>
  <c r="AC8" i="8"/>
  <c r="X9" i="8"/>
  <c r="Z9" i="8"/>
  <c r="AB9" i="8" s="1"/>
  <c r="X10" i="8"/>
  <c r="X11" i="8" s="1"/>
  <c r="X12" i="8" s="1"/>
  <c r="X13" i="8" s="1"/>
  <c r="X14" i="8" s="1"/>
  <c r="X15" i="8" s="1"/>
  <c r="X16" i="8" s="1"/>
  <c r="X17" i="8" s="1"/>
  <c r="X18" i="8" s="1"/>
  <c r="X19" i="8" s="1"/>
  <c r="X20" i="8" s="1"/>
  <c r="X21" i="8" s="1"/>
  <c r="X22" i="8" s="1"/>
  <c r="X23" i="8" s="1"/>
  <c r="X24" i="8" s="1"/>
  <c r="X25" i="8" s="1"/>
  <c r="X26" i="8" s="1"/>
  <c r="X27" i="8" s="1"/>
  <c r="X28" i="8" s="1"/>
  <c r="X29" i="8" s="1"/>
  <c r="Z10" i="8"/>
  <c r="Z11" i="8"/>
  <c r="J12" i="8"/>
  <c r="Z12" i="8"/>
  <c r="J13" i="8"/>
  <c r="Z13" i="8"/>
  <c r="J14" i="8"/>
  <c r="Z14" i="8"/>
  <c r="J15" i="8"/>
  <c r="Z15" i="8"/>
  <c r="J16" i="8"/>
  <c r="Z16" i="8"/>
  <c r="J17" i="8"/>
  <c r="Z17" i="8"/>
  <c r="J18" i="8"/>
  <c r="Z18" i="8"/>
  <c r="J19" i="8"/>
  <c r="Z19" i="8"/>
  <c r="J20" i="8"/>
  <c r="Z20" i="8"/>
  <c r="J21" i="8"/>
  <c r="K21" i="8" s="1"/>
  <c r="O21" i="8" s="1"/>
  <c r="Z21" i="8"/>
  <c r="J22" i="8"/>
  <c r="Z22" i="8"/>
  <c r="Z23" i="8"/>
  <c r="Z24" i="8"/>
  <c r="Z25" i="8"/>
  <c r="Z26" i="8"/>
  <c r="Z27" i="8"/>
  <c r="Z28" i="8"/>
  <c r="Z29" i="8"/>
  <c r="X30" i="8"/>
  <c r="X31" i="8" s="1"/>
  <c r="X32" i="8" s="1"/>
  <c r="Z30" i="8"/>
  <c r="Z31" i="8"/>
  <c r="Z32" i="8"/>
  <c r="G8" i="2"/>
  <c r="I11" i="2" s="1"/>
  <c r="K7" i="2"/>
  <c r="O7" i="2" s="1"/>
  <c r="AE7" i="2" s="1"/>
  <c r="AF7" i="2" s="1"/>
  <c r="K6" i="2"/>
  <c r="O6" i="2" s="1"/>
  <c r="AE6" i="2" s="1"/>
  <c r="K5" i="2"/>
  <c r="O5" i="2" s="1"/>
  <c r="AE5" i="2" s="1"/>
  <c r="S8" i="2"/>
  <c r="S9" i="2"/>
  <c r="S10" i="2"/>
  <c r="S11" i="2"/>
  <c r="S12" i="2"/>
  <c r="S13" i="2"/>
  <c r="S14" i="2"/>
  <c r="S15" i="2"/>
  <c r="S16" i="2"/>
  <c r="S17" i="2"/>
  <c r="S24" i="2"/>
  <c r="S25" i="2"/>
  <c r="S26" i="2"/>
  <c r="S27" i="2"/>
  <c r="S28" i="2"/>
  <c r="S29" i="2"/>
  <c r="S30" i="2"/>
  <c r="S31" i="2"/>
  <c r="S7" i="2"/>
  <c r="S6" i="2"/>
  <c r="R8" i="2"/>
  <c r="R9" i="2" s="1"/>
  <c r="R10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S32" i="2" s="1"/>
  <c r="K11" i="2" l="1"/>
  <c r="O11" i="2" s="1"/>
  <c r="L11" i="2"/>
  <c r="L10" i="2"/>
  <c r="I32" i="2"/>
  <c r="L32" i="2" s="1"/>
  <c r="L8" i="2"/>
  <c r="I19" i="2"/>
  <c r="L19" i="2" s="1"/>
  <c r="I30" i="2"/>
  <c r="L30" i="2" s="1"/>
  <c r="I17" i="2"/>
  <c r="L17" i="2" s="1"/>
  <c r="I28" i="2"/>
  <c r="L28" i="2" s="1"/>
  <c r="I15" i="2"/>
  <c r="I26" i="2"/>
  <c r="I13" i="2"/>
  <c r="S23" i="2"/>
  <c r="I24" i="2"/>
  <c r="L24" i="2" s="1"/>
  <c r="I12" i="2"/>
  <c r="L12" i="2" s="1"/>
  <c r="AF6" i="2"/>
  <c r="I20" i="2"/>
  <c r="L20" i="2" s="1"/>
  <c r="L21" i="2"/>
  <c r="I31" i="2"/>
  <c r="L31" i="2" s="1"/>
  <c r="I18" i="2"/>
  <c r="L18" i="2" s="1"/>
  <c r="I29" i="2"/>
  <c r="L29" i="2" s="1"/>
  <c r="I16" i="2"/>
  <c r="L16" i="2" s="1"/>
  <c r="O8" i="2"/>
  <c r="I27" i="2"/>
  <c r="I14" i="2"/>
  <c r="I25" i="2"/>
  <c r="S22" i="2"/>
  <c r="I23" i="2"/>
  <c r="L23" i="2" s="1"/>
  <c r="K23" i="2"/>
  <c r="O23" i="2" s="1"/>
  <c r="K24" i="2"/>
  <c r="O24" i="2" s="1"/>
  <c r="K22" i="2"/>
  <c r="AA10" i="8"/>
  <c r="AC9" i="8"/>
  <c r="R10" i="8"/>
  <c r="S9" i="8"/>
  <c r="K22" i="8"/>
  <c r="O22" i="8" s="1"/>
  <c r="K8" i="8"/>
  <c r="O8" i="8" s="1"/>
  <c r="AE8" i="8" s="1"/>
  <c r="AF8" i="8" s="1"/>
  <c r="K9" i="2"/>
  <c r="O9" i="2" s="1"/>
  <c r="K12" i="2"/>
  <c r="O12" i="2" s="1"/>
  <c r="S20" i="2"/>
  <c r="S19" i="2"/>
  <c r="S21" i="2"/>
  <c r="S18" i="2"/>
  <c r="Z8" i="2"/>
  <c r="AB8" i="2" s="1"/>
  <c r="AA8" i="2"/>
  <c r="AA9" i="2" s="1"/>
  <c r="AA10" i="2" s="1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9" i="2"/>
  <c r="X9" i="2"/>
  <c r="X10" i="2"/>
  <c r="X11" i="2" s="1"/>
  <c r="X12" i="2" s="1"/>
  <c r="X13" i="2" s="1"/>
  <c r="X14" i="2" s="1"/>
  <c r="X15" i="2" s="1"/>
  <c r="X16" i="2" s="1"/>
  <c r="X17" i="2" s="1"/>
  <c r="X18" i="2" s="1"/>
  <c r="X19" i="2" s="1"/>
  <c r="X20" i="2" s="1"/>
  <c r="X21" i="2" s="1"/>
  <c r="X22" i="2" s="1"/>
  <c r="X23" i="2" s="1"/>
  <c r="X24" i="2" s="1"/>
  <c r="X25" i="2" s="1"/>
  <c r="X26" i="2" s="1"/>
  <c r="X27" i="2" s="1"/>
  <c r="X28" i="2" s="1"/>
  <c r="X29" i="2" s="1"/>
  <c r="X30" i="2" s="1"/>
  <c r="X31" i="2" s="1"/>
  <c r="X32" i="2" s="1"/>
  <c r="L15" i="2" l="1"/>
  <c r="K15" i="2"/>
  <c r="O15" i="2" s="1"/>
  <c r="K28" i="2"/>
  <c r="O28" i="2" s="1"/>
  <c r="K29" i="2"/>
  <c r="O29" i="2" s="1"/>
  <c r="K25" i="2"/>
  <c r="O25" i="2" s="1"/>
  <c r="L25" i="2"/>
  <c r="K27" i="2"/>
  <c r="O27" i="2" s="1"/>
  <c r="L27" i="2"/>
  <c r="K13" i="2"/>
  <c r="O13" i="2" s="1"/>
  <c r="L13" i="2"/>
  <c r="K16" i="2"/>
  <c r="O16" i="2" s="1"/>
  <c r="L14" i="2"/>
  <c r="K14" i="2"/>
  <c r="O14" i="2" s="1"/>
  <c r="K26" i="2"/>
  <c r="O26" i="2" s="1"/>
  <c r="L26" i="2"/>
  <c r="K17" i="2"/>
  <c r="O17" i="2" s="1"/>
  <c r="K31" i="2"/>
  <c r="O31" i="2" s="1"/>
  <c r="K19" i="2"/>
  <c r="O19" i="2" s="1"/>
  <c r="K20" i="2"/>
  <c r="O20" i="2" s="1"/>
  <c r="K30" i="2"/>
  <c r="O30" i="2" s="1"/>
  <c r="K18" i="2"/>
  <c r="O18" i="2" s="1"/>
  <c r="K32" i="2"/>
  <c r="O32" i="2" s="1"/>
  <c r="K16" i="8"/>
  <c r="O16" i="8" s="1"/>
  <c r="K9" i="8"/>
  <c r="O9" i="8" s="1"/>
  <c r="AE9" i="8" s="1"/>
  <c r="AF9" i="8" s="1"/>
  <c r="K10" i="8"/>
  <c r="O10" i="8" s="1"/>
  <c r="S10" i="8"/>
  <c r="R11" i="8"/>
  <c r="K17" i="8"/>
  <c r="O17" i="8" s="1"/>
  <c r="K11" i="8"/>
  <c r="O11" i="8" s="1"/>
  <c r="K18" i="8"/>
  <c r="O18" i="8" s="1"/>
  <c r="K12" i="8"/>
  <c r="O12" i="8" s="1"/>
  <c r="K13" i="8"/>
  <c r="O13" i="8" s="1"/>
  <c r="AA11" i="8"/>
  <c r="AB10" i="8"/>
  <c r="AC10" i="8"/>
  <c r="K19" i="8"/>
  <c r="O19" i="8" s="1"/>
  <c r="K14" i="8"/>
  <c r="O14" i="8" s="1"/>
  <c r="K15" i="8"/>
  <c r="O15" i="8" s="1"/>
  <c r="K20" i="8"/>
  <c r="O20" i="8" s="1"/>
  <c r="O22" i="2"/>
  <c r="AA11" i="2"/>
  <c r="AB10" i="2"/>
  <c r="AB9" i="2"/>
  <c r="AC9" i="2" s="1"/>
  <c r="AE9" i="2" s="1"/>
  <c r="AF9" i="2" s="1"/>
  <c r="AC8" i="2"/>
  <c r="AE8" i="2" s="1"/>
  <c r="AC10" i="2"/>
  <c r="AE10" i="2" s="1"/>
  <c r="AF10" i="2" s="1"/>
  <c r="AA12" i="8" l="1"/>
  <c r="AB11" i="8"/>
  <c r="AC11" i="8"/>
  <c r="R12" i="8"/>
  <c r="S11" i="8"/>
  <c r="AE11" i="8" s="1"/>
  <c r="AF11" i="8" s="1"/>
  <c r="AE10" i="8"/>
  <c r="AF10" i="8" s="1"/>
  <c r="AF8" i="2"/>
  <c r="AA12" i="2"/>
  <c r="AB11" i="2"/>
  <c r="AC11" i="2" s="1"/>
  <c r="AE11" i="2" s="1"/>
  <c r="AF11" i="2" s="1"/>
  <c r="R13" i="8" l="1"/>
  <c r="S12" i="8"/>
  <c r="AA13" i="8"/>
  <c r="AB12" i="8"/>
  <c r="AC12" i="8"/>
  <c r="AA13" i="2"/>
  <c r="AB12" i="2"/>
  <c r="AC12" i="2"/>
  <c r="AE12" i="2" l="1"/>
  <c r="AA14" i="8"/>
  <c r="AB13" i="8"/>
  <c r="AC13" i="8"/>
  <c r="AE12" i="8"/>
  <c r="AF12" i="8" s="1"/>
  <c r="R14" i="8"/>
  <c r="S13" i="8"/>
  <c r="AE13" i="8" s="1"/>
  <c r="AF13" i="8" s="1"/>
  <c r="AA14" i="2"/>
  <c r="AB13" i="2"/>
  <c r="AC13" i="2"/>
  <c r="AE13" i="2" s="1"/>
  <c r="AF13" i="2" s="1"/>
  <c r="AF12" i="2" l="1"/>
  <c r="R15" i="8"/>
  <c r="S14" i="8"/>
  <c r="AA15" i="8"/>
  <c r="AB14" i="8"/>
  <c r="AC14" i="8" s="1"/>
  <c r="AA15" i="2"/>
  <c r="AB14" i="2"/>
  <c r="AC14" i="2"/>
  <c r="AE14" i="2" s="1"/>
  <c r="AF14" i="2" s="1"/>
  <c r="AA16" i="8" l="1"/>
  <c r="AB15" i="8"/>
  <c r="AC15" i="8"/>
  <c r="AE14" i="8"/>
  <c r="AF14" i="8" s="1"/>
  <c r="S15" i="8"/>
  <c r="AE15" i="8" s="1"/>
  <c r="AF15" i="8" s="1"/>
  <c r="R16" i="8"/>
  <c r="AA16" i="2"/>
  <c r="AB15" i="2"/>
  <c r="AC15" i="2"/>
  <c r="AE15" i="2" s="1"/>
  <c r="AF15" i="2" s="1"/>
  <c r="S16" i="8" l="1"/>
  <c r="R17" i="8"/>
  <c r="AA17" i="8"/>
  <c r="AB16" i="8"/>
  <c r="AC16" i="8"/>
  <c r="AA17" i="2"/>
  <c r="AB16" i="2"/>
  <c r="AC16" i="2" s="1"/>
  <c r="AE16" i="2" s="1"/>
  <c r="AF16" i="2" s="1"/>
  <c r="AA18" i="8" l="1"/>
  <c r="AB17" i="8"/>
  <c r="AC17" i="8"/>
  <c r="R18" i="8"/>
  <c r="S17" i="8"/>
  <c r="AE17" i="8" s="1"/>
  <c r="AF17" i="8" s="1"/>
  <c r="AE16" i="8"/>
  <c r="AF16" i="8" s="1"/>
  <c r="AA18" i="2"/>
  <c r="AB17" i="2"/>
  <c r="AC17" i="2"/>
  <c r="AE17" i="2" s="1"/>
  <c r="AF17" i="2" s="1"/>
  <c r="S18" i="8" l="1"/>
  <c r="R19" i="8"/>
  <c r="AA19" i="8"/>
  <c r="AB18" i="8"/>
  <c r="AC18" i="8" s="1"/>
  <c r="AA19" i="2"/>
  <c r="AB18" i="2"/>
  <c r="AC18" i="2"/>
  <c r="AE18" i="2" s="1"/>
  <c r="AF18" i="2" s="1"/>
  <c r="AA20" i="8" l="1"/>
  <c r="AB19" i="8"/>
  <c r="AC19" i="8"/>
  <c r="R20" i="8"/>
  <c r="S19" i="8"/>
  <c r="AE19" i="8" s="1"/>
  <c r="AF19" i="8" s="1"/>
  <c r="AE18" i="8"/>
  <c r="AF18" i="8" s="1"/>
  <c r="AA20" i="2"/>
  <c r="AB19" i="2"/>
  <c r="AC19" i="2"/>
  <c r="AE19" i="2" s="1"/>
  <c r="AF19" i="2" s="1"/>
  <c r="S20" i="8" l="1"/>
  <c r="R21" i="8"/>
  <c r="AA21" i="8"/>
  <c r="AB20" i="8"/>
  <c r="AC20" i="8" s="1"/>
  <c r="AA21" i="2"/>
  <c r="AB20" i="2"/>
  <c r="AC20" i="2" s="1"/>
  <c r="AE20" i="2" s="1"/>
  <c r="AF20" i="2" s="1"/>
  <c r="AB21" i="8" l="1"/>
  <c r="AA22" i="8"/>
  <c r="AC21" i="8"/>
  <c r="R22" i="8"/>
  <c r="S21" i="8"/>
  <c r="AE21" i="8" s="1"/>
  <c r="AF21" i="8" s="1"/>
  <c r="AE20" i="8"/>
  <c r="AF20" i="8" s="1"/>
  <c r="AA22" i="2"/>
  <c r="AB21" i="2"/>
  <c r="AC21" i="2" s="1"/>
  <c r="AE21" i="2" s="1"/>
  <c r="AF21" i="2" s="1"/>
  <c r="R23" i="8" l="1"/>
  <c r="S22" i="8"/>
  <c r="AA23" i="8"/>
  <c r="AB22" i="8"/>
  <c r="AC22" i="8"/>
  <c r="AA23" i="2"/>
  <c r="AB22" i="2"/>
  <c r="AC22" i="2"/>
  <c r="AE22" i="2" s="1"/>
  <c r="AF22" i="2" s="1"/>
  <c r="AA24" i="8" l="1"/>
  <c r="AB23" i="8"/>
  <c r="AC23" i="8" s="1"/>
  <c r="AE22" i="8"/>
  <c r="AF22" i="8" s="1"/>
  <c r="R24" i="8"/>
  <c r="S23" i="8"/>
  <c r="AA24" i="2"/>
  <c r="AB23" i="2"/>
  <c r="AC23" i="2" s="1"/>
  <c r="AE23" i="2" s="1"/>
  <c r="AF23" i="2" s="1"/>
  <c r="AB24" i="8" l="1"/>
  <c r="AC24" i="8"/>
  <c r="AA25" i="8"/>
  <c r="AE23" i="8"/>
  <c r="AF23" i="8" s="1"/>
  <c r="R25" i="8"/>
  <c r="S24" i="8"/>
  <c r="AE24" i="8" s="1"/>
  <c r="AF24" i="8" s="1"/>
  <c r="AA25" i="2"/>
  <c r="AB24" i="2"/>
  <c r="AC24" i="2"/>
  <c r="AE24" i="2" s="1"/>
  <c r="AF24" i="2" s="1"/>
  <c r="R26" i="8" l="1"/>
  <c r="S25" i="8"/>
  <c r="AE25" i="8" s="1"/>
  <c r="AF25" i="8" s="1"/>
  <c r="AA26" i="8"/>
  <c r="AB25" i="8"/>
  <c r="AC25" i="8"/>
  <c r="AA26" i="2"/>
  <c r="AB25" i="2"/>
  <c r="AC25" i="2" s="1"/>
  <c r="AE25" i="2" s="1"/>
  <c r="AF25" i="2" s="1"/>
  <c r="AA27" i="8" l="1"/>
  <c r="AB26" i="8"/>
  <c r="AC26" i="8" s="1"/>
  <c r="R27" i="8"/>
  <c r="S26" i="8"/>
  <c r="AA27" i="2"/>
  <c r="AB26" i="2"/>
  <c r="AC26" i="2"/>
  <c r="AE26" i="2" s="1"/>
  <c r="AF26" i="2" s="1"/>
  <c r="AE26" i="8" l="1"/>
  <c r="AF26" i="8" s="1"/>
  <c r="S27" i="8"/>
  <c r="R28" i="8"/>
  <c r="AA28" i="8"/>
  <c r="AB27" i="8"/>
  <c r="AC27" i="8" s="1"/>
  <c r="AA28" i="2"/>
  <c r="AB27" i="2"/>
  <c r="AC27" i="2"/>
  <c r="AE27" i="2" s="1"/>
  <c r="AF27" i="2" s="1"/>
  <c r="AE27" i="8" l="1"/>
  <c r="AF27" i="8" s="1"/>
  <c r="AA29" i="8"/>
  <c r="AB28" i="8"/>
  <c r="AC28" i="8"/>
  <c r="S28" i="8"/>
  <c r="AE28" i="8" s="1"/>
  <c r="AF28" i="8" s="1"/>
  <c r="R29" i="8"/>
  <c r="AA29" i="2"/>
  <c r="AB28" i="2"/>
  <c r="AC28" i="2"/>
  <c r="AE28" i="2" s="1"/>
  <c r="AF28" i="2" s="1"/>
  <c r="R30" i="8" l="1"/>
  <c r="S29" i="8"/>
  <c r="AA30" i="8"/>
  <c r="AB29" i="8"/>
  <c r="AC29" i="8"/>
  <c r="AA30" i="2"/>
  <c r="AB29" i="2"/>
  <c r="AC29" i="2"/>
  <c r="AE29" i="2" s="1"/>
  <c r="AF29" i="2" s="1"/>
  <c r="AA31" i="8" l="1"/>
  <c r="AB30" i="8"/>
  <c r="AC30" i="8"/>
  <c r="AE29" i="8"/>
  <c r="AF29" i="8" s="1"/>
  <c r="R31" i="8"/>
  <c r="S30" i="8"/>
  <c r="AE30" i="8" s="1"/>
  <c r="AF30" i="8" s="1"/>
  <c r="AA31" i="2"/>
  <c r="AB30" i="2"/>
  <c r="AC30" i="2"/>
  <c r="AE30" i="2" s="1"/>
  <c r="AF30" i="2" s="1"/>
  <c r="S31" i="8" l="1"/>
  <c r="R32" i="8"/>
  <c r="S32" i="8" s="1"/>
  <c r="AA32" i="8"/>
  <c r="AB31" i="8"/>
  <c r="AC31" i="8"/>
  <c r="AA32" i="2"/>
  <c r="AB31" i="2"/>
  <c r="AC31" i="2"/>
  <c r="AE31" i="2" s="1"/>
  <c r="AF31" i="2" s="1"/>
  <c r="AE31" i="8" l="1"/>
  <c r="AF31" i="8" s="1"/>
  <c r="AB32" i="8"/>
  <c r="AC32" i="8" s="1"/>
  <c r="AE32" i="8" s="1"/>
  <c r="AF32" i="8" s="1"/>
  <c r="AB32" i="2"/>
  <c r="AC32" i="2"/>
  <c r="AE32" i="2" s="1"/>
  <c r="AF3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tc={F9D8CC8A-BE30-41E4-863C-89D673897971}</author>
    <author>tc={7BEBAD9C-2740-4DDE-8CA6-0BCDEF4A400E}</author>
    <author>tc={22D3952C-1C5E-4B24-A1D4-531C644AB079}</author>
    <author>tc={BA6E254B-634E-4545-BB34-7BD9C2B160FE}</author>
    <author>tc={0F3A00A6-AFAD-4B98-8502-4880680FD617}</author>
  </authors>
  <commentList>
    <comment ref="R5" authorId="0" shapeId="0" xr:uid="{F9D8CC8A-BE30-41E4-863C-89D673897971}">
      <text>
        <t>[Threaded comment]
Your version of Excel allows you to read this threaded comment; however, any edits to it will get removed if the file is opened in a newer version of Excel. Learn more: https://go.microsoft.com/fwlink/?linkid=870924
Comment:
    NWC grows with inflation, which is 3% every year</t>
      </text>
    </comment>
    <comment ref="AE5" authorId="1" shapeId="0" xr:uid="{7BEBAD9C-2740-4DDE-8CA6-0BCDEF4A400E}">
      <text>
        <t>[Threaded comment]
Your version of Excel allows you to read this threaded comment; however, any edits to it will get removed if the file is opened in a newer version of Excel. Learn more: https://go.microsoft.com/fwlink/?linkid=870924
Comment:
    Let’s make sure all the signs are right</t>
      </text>
    </comment>
    <comment ref="G8" authorId="2" shapeId="0" xr:uid="{22D3952C-1C5E-4B24-A1D4-531C644AB079}">
      <text>
        <t>[Threaded comment]
Your version of Excel allows you to read this threaded comment; however, any edits to it will get removed if the file is opened in a newer version of Excel. Learn more: https://go.microsoft.com/fwlink/?linkid=870924
Comment:
    “The ship would cost 39 million, with 10% payable immediately and 10% the next year. The balance would be due on delivery.”</t>
      </text>
    </comment>
    <comment ref="J12" authorId="3" shapeId="0" xr:uid="{BA6E254B-634E-4545-BB34-7BD9C2B160FE}">
      <text>
        <t>[Threaded comment]
Your version of Excel allows you to read this threaded comment; however, any edits to it will get removed if the file is opened in a newer version of Excel. Learn more: https://go.microsoft.com/fwlink/?linkid=870924
Comment:
    I made this column go past the table because it says each survey capex depreciates for the next 5 years, but one starts in 2027</t>
      </text>
    </comment>
    <comment ref="L22" authorId="4" shapeId="0" xr:uid="{0F3A00A6-AFAD-4B98-8502-4880680FD617}">
      <text>
        <t>[Threaded comment]
Your version of Excel allows you to read this threaded comment; however, any edits to it will get removed if the file is opened in a newer version of Excel. Learn more: https://go.microsoft.com/fwlink/?linkid=870924
Comment:
    Book value = initial cost - depreciation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tc={5BCD2B28-348A-4D89-8E71-707C76A99B1C}</author>
    <author>tc={35F8F929-37DE-410F-8FC1-AE995E141155}</author>
    <author>tc={BB31C628-C427-40CA-88C3-1FDB9EA83C1B}</author>
    <author>tc={084F228C-5CA8-4452-896E-B3D438243368}</author>
  </authors>
  <commentList>
    <comment ref="R5" authorId="0" shapeId="0" xr:uid="{5BCD2B28-348A-4D89-8E71-707C76A99B1C}">
      <text>
        <t>[Threaded comment]
Your version of Excel allows you to read this threaded comment; however, any edits to it will get removed if the file is opened in a newer version of Excel. Learn more: https://go.microsoft.com/fwlink/?linkid=870924
Comment:
    NWC grows with inflation, which is 3% every year</t>
      </text>
    </comment>
    <comment ref="AE5" authorId="1" shapeId="0" xr:uid="{35F8F929-37DE-410F-8FC1-AE995E141155}">
      <text>
        <t>[Threaded comment]
Your version of Excel allows you to read this threaded comment; however, any edits to it will get removed if the file is opened in a newer version of Excel. Learn more: https://go.microsoft.com/fwlink/?linkid=870924
Comment:
    Let’s make sure all the signs are right</t>
      </text>
    </comment>
    <comment ref="G8" authorId="2" shapeId="0" xr:uid="{BB31C628-C427-40CA-88C3-1FDB9EA83C1B}">
      <text>
        <t>[Threaded comment]
Your version of Excel allows you to read this threaded comment; however, any edits to it will get removed if the file is opened in a newer version of Excel. Learn more: https://go.microsoft.com/fwlink/?linkid=870924
Comment:
    “The ship would cost 39 million, with 10% payable immediately and 10% the next year. The balance would be due on delivery.”</t>
      </text>
    </comment>
    <comment ref="G22" authorId="3" shapeId="0" xr:uid="{084F228C-5CA8-4452-896E-B3D438243368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we do a survey at all in this year?</t>
      </text>
    </comment>
  </commentList>
</comments>
</file>

<file path=xl/sharedStrings.xml><?xml version="1.0" encoding="utf-8"?>
<sst xmlns="http://schemas.openxmlformats.org/spreadsheetml/2006/main" count="72" uniqueCount="35">
  <si>
    <t>CF CAPEX</t>
  </si>
  <si>
    <t>CF CHG in NWC</t>
  </si>
  <si>
    <t>CF OPERATIONS</t>
  </si>
  <si>
    <t>Age            of ship</t>
  </si>
  <si>
    <t>Year</t>
  </si>
  <si>
    <t>Survey</t>
  </si>
  <si>
    <t>Capex</t>
  </si>
  <si>
    <t>CF Capex</t>
  </si>
  <si>
    <t>Deprec Invest</t>
  </si>
  <si>
    <t>Deprec Surveys</t>
  </si>
  <si>
    <t xml:space="preserve"> Deprec Total</t>
  </si>
  <si>
    <t>Book value</t>
  </si>
  <si>
    <t>Salvage value</t>
  </si>
  <si>
    <t>After tax salvage value</t>
  </si>
  <si>
    <t>NWC</t>
  </si>
  <si>
    <t>Change           in NWC</t>
  </si>
  <si>
    <t>CF NWC</t>
  </si>
  <si>
    <t>Daily                hire rate</t>
  </si>
  <si>
    <t>Hire Rate Adjustment Factor</t>
  </si>
  <si>
    <t># Hire Days</t>
  </si>
  <si>
    <t>Daily             Costs</t>
  </si>
  <si>
    <t># Cost Days</t>
  </si>
  <si>
    <t>Revenue</t>
  </si>
  <si>
    <t>Oper Costs</t>
  </si>
  <si>
    <t>Tax</t>
  </si>
  <si>
    <t>CF OPER</t>
  </si>
  <si>
    <t>Cash Flow</t>
  </si>
  <si>
    <t>PV cash flow</t>
  </si>
  <si>
    <t>Event year</t>
  </si>
  <si>
    <t>X</t>
  </si>
  <si>
    <t>NPV25</t>
  </si>
  <si>
    <t>Table 1.     25 Year Operating Period</t>
  </si>
  <si>
    <t>average prevailing spot market rate was 22k/day</t>
  </si>
  <si>
    <t>NPV15</t>
  </si>
  <si>
    <t>Table 2.     15 Year Operating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</si>
</sst>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&quot;$&quot;#,##0"/>
    <numFmt numFmtId="166" formatCode="0.0000%"/>
  </numFmts>
  <fonts count="11" x14ac:knownFonts="1">
    <font>
      <sz val="10"/>
      <name val="Arial"/>
    </font>
    <font>
      <sz val="10"/>
      <name val="Times New Roman"/>
      <family val="1"/>
    </font>
    <font>
      <sz val="8"/>
      <name val="Arial"/>
      <family val="2"/>
    </font>
    <font>
      <b/>
      <sz val="10"/>
      <name val="Times New Roman"/>
      <family val="1"/>
    </font>
    <font>
      <sz val="10"/>
      <color theme="3" tint="0.59999389629810485"/>
      <name val="Times New Roman"/>
      <family val="1"/>
    </font>
    <font>
      <sz val="10"/>
      <color rgb="FFFF0000"/>
      <name val="Times New Roman"/>
      <family val="1"/>
    </font>
    <font>
      <sz val="10"/>
      <color theme="1"/>
      <name val="Times New Roman"/>
      <family val="1"/>
    </font>
    <font>
      <sz val="10"/>
      <color rgb="FF00B0F0"/>
      <name val="Times New Roman"/>
      <family val="1"/>
    </font>
    <font>
      <sz val="10"/>
      <color rgb="FF00B050"/>
      <name val="Times New Roman"/>
      <family val="1"/>
    </font>
    <font>
      <sz val="10"/>
      <name val="Arial"/>
      <family val="2"/>
    </font>
    <font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44" fontId="9" fillId="0" borderId="0" applyFont="0" applyFill="0" applyBorder="0" applyAlignment="0" applyProtection="0"/>
  </cellStyleXfs>
  <cellXfs count="82">
    <xf numFmtId="0" fontId="0" fillId="0" borderId="0" xfId="0"/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165" fontId="1" fillId="0" borderId="0" xfId="0" applyNumberFormat="1" applyFont="1" applyAlignment="1">
      <alignment horizontal="center" wrapText="1"/>
    </xf>
    <xf numFmtId="166" fontId="1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3" fontId="1" fillId="0" borderId="0" xfId="0" applyNumberFormat="1" applyFont="1" applyAlignment="1">
      <alignment horizontal="center" wrapText="1"/>
    </xf>
    <xf numFmtId="3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3" fontId="5" fillId="0" borderId="1" xfId="0" applyNumberFormat="1" applyFont="1" applyBorder="1" applyAlignment="1">
      <alignment horizontal="center" wrapText="1"/>
    </xf>
    <xf numFmtId="165" fontId="5" fillId="0" borderId="1" xfId="0" applyNumberFormat="1" applyFont="1" applyBorder="1" applyAlignment="1">
      <alignment horizontal="center" wrapText="1"/>
    </xf>
    <xf numFmtId="165" fontId="1" fillId="0" borderId="0" xfId="0" applyNumberFormat="1" applyFont="1" applyAlignment="1">
      <alignment horizontal="left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 wrapText="1"/>
    </xf>
    <xf numFmtId="165" fontId="7" fillId="0" borderId="4" xfId="0" applyNumberFormat="1" applyFont="1" applyBorder="1" applyAlignment="1">
      <alignment horizontal="center" wrapText="1"/>
    </xf>
    <xf numFmtId="165" fontId="1" fillId="0" borderId="5" xfId="0" applyNumberFormat="1" applyFont="1" applyBorder="1" applyAlignment="1">
      <alignment horizontal="center" wrapText="1"/>
    </xf>
    <xf numFmtId="165" fontId="7" fillId="0" borderId="4" xfId="0" applyNumberFormat="1" applyFont="1" applyBorder="1" applyAlignment="1">
      <alignment horizontal="center"/>
    </xf>
    <xf numFmtId="165" fontId="7" fillId="0" borderId="6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5" fontId="1" fillId="0" borderId="4" xfId="0" applyNumberFormat="1" applyFont="1" applyBorder="1" applyAlignment="1">
      <alignment horizontal="center" wrapText="1"/>
    </xf>
    <xf numFmtId="165" fontId="1" fillId="0" borderId="4" xfId="0" applyNumberFormat="1" applyFont="1" applyBorder="1" applyAlignment="1">
      <alignment horizontal="center"/>
    </xf>
    <xf numFmtId="165" fontId="1" fillId="0" borderId="6" xfId="0" applyNumberFormat="1" applyFont="1" applyBorder="1" applyAlignment="1">
      <alignment horizontal="center"/>
    </xf>
    <xf numFmtId="3" fontId="1" fillId="0" borderId="8" xfId="0" applyNumberFormat="1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5" fillId="0" borderId="7" xfId="0" applyFont="1" applyBorder="1" applyAlignment="1">
      <alignment horizontal="center"/>
    </xf>
    <xf numFmtId="0" fontId="7" fillId="0" borderId="0" xfId="0" applyFont="1" applyAlignment="1">
      <alignment horizontal="center"/>
    </xf>
    <xf numFmtId="3" fontId="7" fillId="0" borderId="0" xfId="0" applyNumberFormat="1" applyFont="1" applyAlignment="1">
      <alignment horizontal="center" wrapText="1"/>
    </xf>
    <xf numFmtId="165" fontId="1" fillId="0" borderId="5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65" fontId="1" fillId="0" borderId="7" xfId="0" applyNumberFormat="1" applyFont="1" applyBorder="1" applyAlignment="1">
      <alignment horizontal="center"/>
    </xf>
    <xf numFmtId="1" fontId="1" fillId="0" borderId="5" xfId="0" applyNumberFormat="1" applyFont="1" applyBorder="1" applyAlignment="1">
      <alignment horizontal="center" wrapText="1"/>
    </xf>
    <xf numFmtId="165" fontId="1" fillId="0" borderId="6" xfId="0" applyNumberFormat="1" applyFont="1" applyBorder="1" applyAlignment="1">
      <alignment horizontal="center" wrapText="1"/>
    </xf>
    <xf numFmtId="165" fontId="1" fillId="0" borderId="8" xfId="0" applyNumberFormat="1" applyFont="1" applyBorder="1" applyAlignment="1">
      <alignment horizontal="center" wrapText="1"/>
    </xf>
    <xf numFmtId="165" fontId="1" fillId="0" borderId="3" xfId="0" applyNumberFormat="1" applyFont="1" applyBorder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165" fontId="7" fillId="2" borderId="4" xfId="0" applyNumberFormat="1" applyFont="1" applyFill="1" applyBorder="1" applyAlignment="1">
      <alignment horizontal="center"/>
    </xf>
    <xf numFmtId="165" fontId="1" fillId="2" borderId="0" xfId="0" applyNumberFormat="1" applyFont="1" applyFill="1" applyAlignment="1">
      <alignment horizontal="center" wrapText="1"/>
    </xf>
    <xf numFmtId="165" fontId="1" fillId="2" borderId="0" xfId="0" applyNumberFormat="1" applyFont="1" applyFill="1" applyAlignment="1">
      <alignment horizontal="center"/>
    </xf>
    <xf numFmtId="165" fontId="7" fillId="2" borderId="0" xfId="0" applyNumberFormat="1" applyFont="1" applyFill="1" applyAlignment="1">
      <alignment horizontal="center"/>
    </xf>
    <xf numFmtId="3" fontId="6" fillId="0" borderId="2" xfId="0" applyNumberFormat="1" applyFont="1" applyBorder="1" applyAlignment="1">
      <alignment horizontal="center" wrapText="1"/>
    </xf>
    <xf numFmtId="3" fontId="6" fillId="0" borderId="4" xfId="0" applyNumberFormat="1" applyFont="1" applyBorder="1" applyAlignment="1">
      <alignment horizontal="center" wrapText="1"/>
    </xf>
    <xf numFmtId="3" fontId="6" fillId="0" borderId="8" xfId="0" applyNumberFormat="1" applyFont="1" applyBorder="1" applyAlignment="1">
      <alignment horizontal="center" wrapText="1"/>
    </xf>
    <xf numFmtId="3" fontId="6" fillId="0" borderId="0" xfId="0" applyNumberFormat="1" applyFont="1" applyAlignment="1">
      <alignment horizontal="center" wrapText="1"/>
    </xf>
    <xf numFmtId="4" fontId="1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  <xf numFmtId="2" fontId="7" fillId="0" borderId="1" xfId="0" applyNumberFormat="1" applyFont="1" applyBorder="1" applyAlignment="1">
      <alignment horizontal="center"/>
    </xf>
    <xf numFmtId="165" fontId="1" fillId="0" borderId="7" xfId="0" applyNumberFormat="1" applyFont="1" applyBorder="1" applyAlignment="1">
      <alignment horizontal="center" wrapText="1"/>
    </xf>
    <xf numFmtId="3" fontId="7" fillId="0" borderId="1" xfId="0" applyNumberFormat="1" applyFont="1" applyBorder="1" applyAlignment="1">
      <alignment horizontal="center" wrapText="1"/>
    </xf>
    <xf numFmtId="1" fontId="1" fillId="0" borderId="7" xfId="0" applyNumberFormat="1" applyFont="1" applyBorder="1" applyAlignment="1">
      <alignment horizontal="center" wrapText="1"/>
    </xf>
    <xf numFmtId="44" fontId="1" fillId="0" borderId="0" xfId="1" applyFont="1" applyAlignment="1">
      <alignment horizontal="center"/>
    </xf>
    <xf numFmtId="44" fontId="1" fillId="0" borderId="1" xfId="1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8" fontId="1" fillId="0" borderId="0" xfId="0" applyNumberFormat="1" applyFont="1" applyAlignment="1">
      <alignment horizontal="center"/>
    </xf>
    <xf numFmtId="165" fontId="1" fillId="2" borderId="5" xfId="0" applyNumberFormat="1" applyFont="1" applyFill="1" applyBorder="1" applyAlignment="1">
      <alignment horizontal="center" wrapText="1"/>
    </xf>
    <xf numFmtId="165" fontId="7" fillId="0" borderId="0" xfId="0" applyNumberFormat="1" applyFont="1" applyAlignment="1">
      <alignment horizontal="center"/>
    </xf>
    <xf numFmtId="165" fontId="1" fillId="0" borderId="1" xfId="0" applyNumberFormat="1" applyFont="1" applyBorder="1" applyAlignment="1">
      <alignment horizontal="center" wrapText="1"/>
    </xf>
    <xf numFmtId="4" fontId="7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raddy, Aliya" id="{2BC7D60F-1AFE-4599-A9ED-A05DCEF4F2D7}" userId="S::acbraddy@wm.edu::43a6987c-ed36-4c07-8a38-f1dab7ed7004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5" dT="2025-09-27T03:27:13.31" personId="{2BC7D60F-1AFE-4599-A9ED-A05DCEF4F2D7}" id="{F9D8CC8A-BE30-41E4-863C-89D673897971}">
    <text>NWC grows with inflation, which is 3% every year</text>
  </threadedComment>
  <threadedComment ref="AE5" dT="2025-09-30T00:17:55.73" personId="{2BC7D60F-1AFE-4599-A9ED-A05DCEF4F2D7}" id="{7BEBAD9C-2740-4DDE-8CA6-0BCDEF4A400E}">
    <text>Let’s make sure all the signs are right</text>
  </threadedComment>
  <threadedComment ref="G8" dT="2025-09-27T03:47:59.72" personId="{2BC7D60F-1AFE-4599-A9ED-A05DCEF4F2D7}" id="{22D3952C-1C5E-4B24-A1D4-531C644AB079}">
    <text>“The ship would cost 39 million, with 10% payable immediately and 10% the next year. The balance would be due on delivery.”</text>
  </threadedComment>
  <threadedComment ref="J12" dT="2025-09-27T04:06:36.28" personId="{2BC7D60F-1AFE-4599-A9ED-A05DCEF4F2D7}" id="{BA6E254B-634E-4545-BB34-7BD9C2B160FE}">
    <text>I made this column go past the table because it says each survey capex depreciates for the next 5 years, but one starts in 2027</text>
  </threadedComment>
  <threadedComment ref="L22" dT="2025-09-27T03:56:17.52" personId="{2BC7D60F-1AFE-4599-A9ED-A05DCEF4F2D7}" id="{0F3A00A6-AFAD-4B98-8502-4880680FD617}">
    <text>Book value = initial cost - depreciation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5" dT="2025-09-27T03:27:13.31" personId="{2BC7D60F-1AFE-4599-A9ED-A05DCEF4F2D7}" id="{5BCD2B28-348A-4D89-8E71-707C76A99B1C}">
    <text>NWC grows with inflation, which is 3% every year</text>
  </threadedComment>
  <threadedComment ref="AE5" dT="2025-09-30T00:17:55.73" personId="{2BC7D60F-1AFE-4599-A9ED-A05DCEF4F2D7}" id="{35F8F929-37DE-410F-8FC1-AE995E141155}">
    <text>Let’s make sure all the signs are right</text>
  </threadedComment>
  <threadedComment ref="G8" dT="2025-09-27T03:47:59.72" personId="{2BC7D60F-1AFE-4599-A9ED-A05DCEF4F2D7}" id="{BB31C628-C427-40CA-88C3-1FDB9EA83C1B}">
    <text>“The ship would cost 39 million, with 10% payable immediately and 10% the next year. The balance would be due on delivery.”</text>
  </threadedComment>
  <threadedComment ref="G22" dT="2025-09-30T15:08:33.16" personId="{2BC7D60F-1AFE-4599-A9ED-A05DCEF4F2D7}" id="{084F228C-5CA8-4452-896E-B3D438243368}">
    <text>Will we do a survey at all in this year?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4"/>
  <sheetViews>
    <sheetView tabSelected="1" topLeftCell="O4" zoomScale="73" zoomScaleNormal="100" workbookViewId="0">
      <selection activeCell="S41" sqref="S41"/>
    </sheetView>
  </sheetViews>
  <sheetFormatPr defaultColWidth="9" defaultRowHeight="13" x14ac:dyDescent="0.3"/>
  <cols>
    <col min="1" max="1" width="10" style="1" bestFit="1" customWidth="1"/>
    <col min="2" max="2" width="12.26953125" style="1" bestFit="1" customWidth="1"/>
    <col min="3" max="3" width="8.453125" style="1" bestFit="1" customWidth="1"/>
    <col min="4" max="4" width="5.81640625" style="1" customWidth="1"/>
    <col min="5" max="5" width="5" style="1" bestFit="1" customWidth="1"/>
    <col min="6" max="6" width="5.7265625" style="1" customWidth="1"/>
    <col min="7" max="8" width="11.26953125" style="1" bestFit="1" customWidth="1"/>
    <col min="9" max="9" width="10.81640625" style="1" customWidth="1"/>
    <col min="10" max="10" width="9" style="1"/>
    <col min="11" max="11" width="9.7265625" style="1" bestFit="1" customWidth="1"/>
    <col min="12" max="12" width="10.54296875" style="1" bestFit="1" customWidth="1"/>
    <col min="13" max="13" width="9" style="1"/>
    <col min="14" max="14" width="10" style="1" customWidth="1"/>
    <col min="15" max="15" width="19.54296875" style="1" customWidth="1"/>
    <col min="16" max="16" width="5.7265625" style="1" customWidth="1"/>
    <col min="17" max="17" width="10" style="1" bestFit="1" customWidth="1"/>
    <col min="18" max="18" width="11" style="1" bestFit="1" customWidth="1"/>
    <col min="19" max="19" width="11" style="1" customWidth="1"/>
    <col min="20" max="20" width="5.7265625" style="1" customWidth="1"/>
    <col min="21" max="21" width="7.26953125" style="3" customWidth="1"/>
    <col min="22" max="22" width="9" style="3" customWidth="1"/>
    <col min="23" max="23" width="8.7265625" style="1" bestFit="1" customWidth="1"/>
    <col min="24" max="24" width="12.54296875" style="1" bestFit="1" customWidth="1"/>
    <col min="25" max="25" width="8.7265625" style="1" bestFit="1" customWidth="1"/>
    <col min="26" max="26" width="9.7265625" style="1" customWidth="1"/>
    <col min="27" max="27" width="28.26953125" style="1" bestFit="1" customWidth="1"/>
    <col min="28" max="28" width="9.26953125" style="1" customWidth="1"/>
    <col min="29" max="29" width="11.54296875" style="1" customWidth="1"/>
    <col min="30" max="30" width="5.7265625" style="1" customWidth="1"/>
    <col min="31" max="31" width="11.26953125" style="1" bestFit="1" customWidth="1"/>
    <col min="32" max="33" width="13" style="1" bestFit="1" customWidth="1"/>
    <col min="34" max="34" width="5.453125" style="1" bestFit="1" customWidth="1"/>
    <col min="35" max="35" width="9.54296875" style="1" bestFit="1" customWidth="1"/>
    <col min="36" max="36" width="10" style="1" bestFit="1" customWidth="1"/>
    <col min="37" max="37" width="9.54296875" style="1" bestFit="1" customWidth="1"/>
    <col min="38" max="16384" width="9" style="1"/>
  </cols>
  <sheetData>
    <row r="1" spans="1:35" ht="13.5" thickBot="1" x14ac:dyDescent="0.35">
      <c r="G1" s="79" t="s">
        <v>0</v>
      </c>
      <c r="H1" s="79"/>
      <c r="I1" s="79"/>
      <c r="J1" s="79"/>
      <c r="K1" s="79"/>
      <c r="L1" s="79"/>
      <c r="M1" s="79"/>
      <c r="N1" s="79"/>
      <c r="O1" s="79"/>
      <c r="Q1" s="79" t="s">
        <v>1</v>
      </c>
      <c r="R1" s="79"/>
      <c r="S1" s="79"/>
      <c r="U1" s="80" t="s">
        <v>2</v>
      </c>
      <c r="V1" s="80"/>
      <c r="W1" s="80"/>
      <c r="X1" s="80"/>
      <c r="Y1" s="80"/>
      <c r="Z1" s="80"/>
      <c r="AA1" s="80"/>
      <c r="AB1" s="80"/>
      <c r="AC1" s="80"/>
    </row>
    <row r="2" spans="1:35" ht="39" x14ac:dyDescent="0.3">
      <c r="D2" s="18" t="s">
        <v>3</v>
      </c>
      <c r="E2" s="19" t="s">
        <v>4</v>
      </c>
      <c r="F2" s="1" t="s">
        <v>5</v>
      </c>
      <c r="G2" s="18" t="s">
        <v>6</v>
      </c>
      <c r="H2" s="30" t="s">
        <v>7</v>
      </c>
      <c r="I2" s="30" t="s">
        <v>8</v>
      </c>
      <c r="J2" s="30" t="s">
        <v>9</v>
      </c>
      <c r="K2" s="30" t="s">
        <v>10</v>
      </c>
      <c r="L2" s="30" t="s">
        <v>11</v>
      </c>
      <c r="M2" s="30" t="s">
        <v>12</v>
      </c>
      <c r="N2" s="30" t="s">
        <v>13</v>
      </c>
      <c r="O2" s="19" t="s">
        <v>0</v>
      </c>
      <c r="Q2" s="18" t="s">
        <v>14</v>
      </c>
      <c r="R2" s="30" t="s">
        <v>15</v>
      </c>
      <c r="S2" s="19" t="s">
        <v>16</v>
      </c>
      <c r="U2" s="18" t="s">
        <v>17</v>
      </c>
      <c r="V2" s="30" t="s">
        <v>18</v>
      </c>
      <c r="W2" s="30" t="s">
        <v>19</v>
      </c>
      <c r="X2" s="39" t="s">
        <v>20</v>
      </c>
      <c r="Y2" s="30" t="s">
        <v>21</v>
      </c>
      <c r="Z2" s="30" t="s">
        <v>22</v>
      </c>
      <c r="AA2" s="30" t="s">
        <v>23</v>
      </c>
      <c r="AB2" s="30" t="s">
        <v>24</v>
      </c>
      <c r="AC2" s="19" t="s">
        <v>25</v>
      </c>
      <c r="AE2" s="18" t="s">
        <v>26</v>
      </c>
      <c r="AF2" s="30" t="s">
        <v>27</v>
      </c>
      <c r="AG2" s="19" t="s">
        <v>28</v>
      </c>
    </row>
    <row r="3" spans="1:35" x14ac:dyDescent="0.3">
      <c r="C3" s="9"/>
      <c r="D3" s="20"/>
      <c r="E3" s="21"/>
      <c r="F3" s="9"/>
      <c r="G3" s="20"/>
      <c r="H3" s="9"/>
      <c r="I3" s="4"/>
      <c r="J3" s="4"/>
      <c r="K3" s="9"/>
      <c r="L3" s="4"/>
      <c r="M3" s="9"/>
      <c r="N3" s="9"/>
      <c r="O3" s="21"/>
      <c r="Q3" s="20"/>
      <c r="R3" s="9"/>
      <c r="S3" s="21"/>
      <c r="U3" s="20"/>
      <c r="V3" s="9"/>
      <c r="W3" s="9"/>
      <c r="X3" s="11"/>
      <c r="Y3" s="9"/>
      <c r="Z3" s="9"/>
      <c r="AA3" s="9"/>
      <c r="AB3" s="9"/>
      <c r="AC3" s="40"/>
      <c r="AE3" s="20"/>
      <c r="AF3" s="12"/>
      <c r="AG3" s="21"/>
    </row>
    <row r="4" spans="1:35" ht="13.5" thickBot="1" x14ac:dyDescent="0.35">
      <c r="C4" s="13"/>
      <c r="D4" s="22"/>
      <c r="E4" s="23"/>
      <c r="F4" s="13"/>
      <c r="G4" s="22"/>
      <c r="H4" s="14"/>
      <c r="I4" s="14"/>
      <c r="J4" s="14"/>
      <c r="K4" s="14"/>
      <c r="L4" s="14"/>
      <c r="M4" s="14"/>
      <c r="N4" s="14"/>
      <c r="O4" s="51"/>
      <c r="Q4" s="22"/>
      <c r="R4" s="14"/>
      <c r="S4" s="51"/>
      <c r="U4" s="22"/>
      <c r="V4" s="14"/>
      <c r="W4" s="14"/>
      <c r="X4" s="15"/>
      <c r="Y4" s="14"/>
      <c r="Z4" s="14"/>
      <c r="AA4" s="14"/>
      <c r="AB4" s="14"/>
      <c r="AC4" s="41"/>
      <c r="AE4" s="22"/>
      <c r="AF4" s="16"/>
      <c r="AG4" s="23"/>
    </row>
    <row r="5" spans="1:35" x14ac:dyDescent="0.3">
      <c r="A5" s="8"/>
      <c r="B5" s="17"/>
      <c r="D5" s="24"/>
      <c r="E5" s="25">
        <v>2000</v>
      </c>
      <c r="G5" s="31"/>
      <c r="H5" s="5"/>
      <c r="I5" s="5"/>
      <c r="J5" s="5"/>
      <c r="K5" s="5">
        <f>I5+J5</f>
        <v>0</v>
      </c>
      <c r="L5" s="5"/>
      <c r="M5" s="5"/>
      <c r="N5" s="5"/>
      <c r="O5" s="32">
        <f t="shared" ref="O5:O32" si="0">G5+K5+N5</f>
        <v>0</v>
      </c>
      <c r="Q5" s="36"/>
      <c r="R5" s="5"/>
      <c r="S5" s="32"/>
      <c r="U5" s="59"/>
      <c r="V5" s="61"/>
      <c r="W5" s="30"/>
      <c r="X5" s="39"/>
      <c r="Y5" s="30"/>
      <c r="Z5" s="30"/>
      <c r="AA5" s="30"/>
      <c r="AB5" s="49"/>
      <c r="AC5" s="50"/>
      <c r="AE5" s="36">
        <f>SUM(O5,S5,AC5)</f>
        <v>0</v>
      </c>
      <c r="AF5" s="5"/>
      <c r="AG5" s="47">
        <v>0</v>
      </c>
    </row>
    <row r="6" spans="1:35" x14ac:dyDescent="0.3">
      <c r="A6" s="8"/>
      <c r="B6" s="8"/>
      <c r="C6" s="1">
        <v>0</v>
      </c>
      <c r="D6" s="24"/>
      <c r="E6" s="25">
        <v>2001</v>
      </c>
      <c r="G6" s="31">
        <v>-3900000</v>
      </c>
      <c r="H6" s="3"/>
      <c r="I6" s="5"/>
      <c r="J6" s="5"/>
      <c r="K6" s="5">
        <f t="shared" ref="K6:K31" si="1">I6+J6</f>
        <v>0</v>
      </c>
      <c r="L6" s="5"/>
      <c r="M6" s="5"/>
      <c r="N6" s="5"/>
      <c r="O6" s="32">
        <f t="shared" si="0"/>
        <v>-3900000</v>
      </c>
      <c r="Q6" s="36">
        <v>-500000</v>
      </c>
      <c r="R6" s="5"/>
      <c r="S6" s="32">
        <f>Q6+R6</f>
        <v>-500000</v>
      </c>
      <c r="U6" s="60"/>
      <c r="V6" s="62"/>
      <c r="W6" s="4"/>
      <c r="X6" s="10"/>
      <c r="Y6" s="4"/>
      <c r="Z6" s="4"/>
      <c r="AA6" s="4"/>
      <c r="AB6" s="5"/>
      <c r="AC6" s="32"/>
      <c r="AE6" s="36">
        <f>SUM(O6,S6,AC6)</f>
        <v>-4400000</v>
      </c>
      <c r="AF6" s="71">
        <f>AE6/((1+0.09)^AG5)</f>
        <v>-4400000</v>
      </c>
      <c r="AG6" s="47">
        <v>1</v>
      </c>
    </row>
    <row r="7" spans="1:35" x14ac:dyDescent="0.3">
      <c r="A7" s="8"/>
      <c r="B7" s="8"/>
      <c r="D7" s="24"/>
      <c r="E7" s="25">
        <v>2002</v>
      </c>
      <c r="G7" s="31">
        <v>-3900000</v>
      </c>
      <c r="H7" s="5"/>
      <c r="I7" s="5"/>
      <c r="J7" s="5"/>
      <c r="K7" s="5">
        <f t="shared" si="1"/>
        <v>0</v>
      </c>
      <c r="L7" s="5"/>
      <c r="M7" s="2"/>
      <c r="N7" s="2"/>
      <c r="O7" s="32">
        <f t="shared" si="0"/>
        <v>-3900000</v>
      </c>
      <c r="Q7" s="31"/>
      <c r="R7" s="69">
        <v>15000</v>
      </c>
      <c r="S7" s="32">
        <f>-(Q7+R7)</f>
        <v>-15000</v>
      </c>
      <c r="U7" s="60"/>
      <c r="V7" s="62"/>
      <c r="W7" s="4"/>
      <c r="X7" s="4"/>
      <c r="Y7" s="4"/>
      <c r="Z7" s="4"/>
      <c r="AA7" s="4"/>
      <c r="AB7" s="5"/>
      <c r="AC7" s="32"/>
      <c r="AE7" s="36">
        <f t="shared" ref="AE7:AE32" si="2">SUM(O7,S7,AC7)</f>
        <v>-3915000</v>
      </c>
      <c r="AF7" s="71">
        <f t="shared" ref="AF7:AF32" si="3">AE7/((1+0.09)^AG6)</f>
        <v>-3591743.1192660546</v>
      </c>
      <c r="AG7" s="47">
        <v>2</v>
      </c>
    </row>
    <row r="8" spans="1:35" x14ac:dyDescent="0.3">
      <c r="A8" s="8"/>
      <c r="B8" s="8"/>
      <c r="D8" s="26">
        <v>1</v>
      </c>
      <c r="E8" s="27">
        <v>2003</v>
      </c>
      <c r="G8" s="33">
        <f>-39000000-G7-G6</f>
        <v>-31200000</v>
      </c>
      <c r="H8" s="5"/>
      <c r="I8" s="2">
        <f t="shared" ref="I8:I32" si="4">-(SUM($G$6:$G$8)/25)</f>
        <v>1560000</v>
      </c>
      <c r="J8" s="2"/>
      <c r="K8" s="5">
        <f>I8+J8</f>
        <v>1560000</v>
      </c>
      <c r="L8" s="5">
        <f t="shared" ref="L8:L32" si="5">-((SUM($G$6:$G$8)+(I8*D8)))</f>
        <v>37440000</v>
      </c>
      <c r="M8" s="2"/>
      <c r="N8" s="2"/>
      <c r="O8" s="32">
        <f t="shared" si="0"/>
        <v>-29640000</v>
      </c>
      <c r="Q8" s="37"/>
      <c r="R8" s="69">
        <f>R7*1.03</f>
        <v>15450</v>
      </c>
      <c r="S8" s="32">
        <f t="shared" ref="S8:S32" si="6">-(Q8+R8)</f>
        <v>-15450</v>
      </c>
      <c r="U8" s="33">
        <v>20000</v>
      </c>
      <c r="V8" s="77">
        <v>1.1499999999999999</v>
      </c>
      <c r="W8" s="42">
        <v>357</v>
      </c>
      <c r="X8" s="43">
        <v>4000</v>
      </c>
      <c r="Y8" s="42">
        <v>8</v>
      </c>
      <c r="Z8" s="2">
        <f t="shared" ref="Z8:Z32" si="7">U8*W8</f>
        <v>7140000</v>
      </c>
      <c r="AA8" s="2">
        <f>365*X8</f>
        <v>1460000</v>
      </c>
      <c r="AB8" s="2">
        <f>(Z8-AA8)*(1-0.35)</f>
        <v>3692000</v>
      </c>
      <c r="AC8" s="44">
        <f t="shared" ref="AC8:AC32" si="8">Z8-AA8-AB8</f>
        <v>1988000</v>
      </c>
      <c r="AE8" s="36">
        <f>SUM(O8,S8,AC8)</f>
        <v>-27667450</v>
      </c>
      <c r="AF8" s="71">
        <f t="shared" si="3"/>
        <v>-23287139.129702885</v>
      </c>
      <c r="AG8" s="47">
        <v>3</v>
      </c>
    </row>
    <row r="9" spans="1:35" x14ac:dyDescent="0.3">
      <c r="A9" s="8"/>
      <c r="B9" s="8"/>
      <c r="D9" s="26">
        <v>2</v>
      </c>
      <c r="E9" s="27">
        <v>2004</v>
      </c>
      <c r="G9" s="33"/>
      <c r="H9" s="5"/>
      <c r="I9" s="2">
        <f t="shared" si="4"/>
        <v>1560000</v>
      </c>
      <c r="J9" s="2"/>
      <c r="K9" s="5">
        <f t="shared" si="1"/>
        <v>1560000</v>
      </c>
      <c r="L9" s="5">
        <f t="shared" si="5"/>
        <v>35880000</v>
      </c>
      <c r="M9" s="2"/>
      <c r="N9" s="2"/>
      <c r="O9" s="32">
        <f t="shared" si="0"/>
        <v>1560000</v>
      </c>
      <c r="Q9" s="37"/>
      <c r="R9" s="69">
        <f t="shared" ref="R9:R32" si="9">R8*1.03</f>
        <v>15913.5</v>
      </c>
      <c r="S9" s="32">
        <f t="shared" si="6"/>
        <v>-15913.5</v>
      </c>
      <c r="U9" s="33">
        <v>20200</v>
      </c>
      <c r="V9" s="77">
        <v>1.1499999999999999</v>
      </c>
      <c r="W9" s="42">
        <v>357</v>
      </c>
      <c r="X9" s="43">
        <f t="shared" ref="X9:X32" si="10">X8*1.04</f>
        <v>4160</v>
      </c>
      <c r="Y9" s="42">
        <v>8</v>
      </c>
      <c r="Z9" s="2">
        <f t="shared" si="7"/>
        <v>7211400</v>
      </c>
      <c r="AA9" s="2">
        <f t="shared" ref="AA9:AA32" si="11">AA8*1.04</f>
        <v>1518400</v>
      </c>
      <c r="AB9" s="2">
        <f t="shared" ref="AB9:AB32" si="12">(Z9-AA9)*(1-0.35)</f>
        <v>3700450</v>
      </c>
      <c r="AC9" s="44">
        <f t="shared" si="8"/>
        <v>1992550</v>
      </c>
      <c r="AE9" s="36">
        <f t="shared" si="2"/>
        <v>3536636.5</v>
      </c>
      <c r="AF9" s="71">
        <f t="shared" si="3"/>
        <v>2730932.2802809817</v>
      </c>
      <c r="AG9" s="47">
        <v>4</v>
      </c>
    </row>
    <row r="10" spans="1:35" s="4" customFormat="1" x14ac:dyDescent="0.3">
      <c r="C10" s="1"/>
      <c r="D10" s="26">
        <v>3</v>
      </c>
      <c r="E10" s="27">
        <v>2005</v>
      </c>
      <c r="F10" s="1"/>
      <c r="G10" s="33"/>
      <c r="H10" s="5"/>
      <c r="I10" s="2">
        <f t="shared" si="4"/>
        <v>1560000</v>
      </c>
      <c r="J10" s="2"/>
      <c r="K10" s="5">
        <f t="shared" si="1"/>
        <v>1560000</v>
      </c>
      <c r="L10" s="5">
        <f t="shared" si="5"/>
        <v>34320000</v>
      </c>
      <c r="M10" s="2"/>
      <c r="N10" s="2"/>
      <c r="O10" s="32">
        <f t="shared" si="0"/>
        <v>1560000</v>
      </c>
      <c r="P10" s="1"/>
      <c r="Q10" s="37"/>
      <c r="R10" s="69">
        <f t="shared" si="9"/>
        <v>16390.904999999999</v>
      </c>
      <c r="S10" s="32">
        <f t="shared" si="6"/>
        <v>-16390.904999999999</v>
      </c>
      <c r="T10" s="1"/>
      <c r="U10" s="33">
        <v>20400</v>
      </c>
      <c r="V10" s="77">
        <v>1.1499999999999999</v>
      </c>
      <c r="W10" s="42">
        <v>357</v>
      </c>
      <c r="X10" s="43">
        <f t="shared" si="10"/>
        <v>4326.4000000000005</v>
      </c>
      <c r="Y10" s="42">
        <v>8</v>
      </c>
      <c r="Z10" s="2">
        <f t="shared" si="7"/>
        <v>7282800</v>
      </c>
      <c r="AA10" s="2">
        <f t="shared" si="11"/>
        <v>1579136</v>
      </c>
      <c r="AB10" s="2">
        <f t="shared" si="12"/>
        <v>3707381.6</v>
      </c>
      <c r="AC10" s="44">
        <f t="shared" si="8"/>
        <v>1996282.4</v>
      </c>
      <c r="AD10" s="1"/>
      <c r="AE10" s="36">
        <f t="shared" si="2"/>
        <v>3539891.4950000001</v>
      </c>
      <c r="AF10" s="71">
        <f t="shared" si="3"/>
        <v>2507748.3794932687</v>
      </c>
      <c r="AG10" s="47">
        <v>5</v>
      </c>
    </row>
    <row r="11" spans="1:35" s="4" customFormat="1" x14ac:dyDescent="0.3">
      <c r="A11" s="8"/>
      <c r="B11" s="8"/>
      <c r="C11" s="1"/>
      <c r="D11" s="26">
        <v>4</v>
      </c>
      <c r="E11" s="27">
        <v>2006</v>
      </c>
      <c r="F11" s="1"/>
      <c r="G11" s="33"/>
      <c r="H11" s="5"/>
      <c r="I11" s="2">
        <f t="shared" si="4"/>
        <v>1560000</v>
      </c>
      <c r="J11" s="2"/>
      <c r="K11" s="5">
        <f t="shared" si="1"/>
        <v>1560000</v>
      </c>
      <c r="L11" s="5">
        <f t="shared" si="5"/>
        <v>32760000</v>
      </c>
      <c r="M11" s="2"/>
      <c r="N11" s="2"/>
      <c r="O11" s="32">
        <f t="shared" si="0"/>
        <v>1560000</v>
      </c>
      <c r="P11" s="1"/>
      <c r="Q11" s="37"/>
      <c r="R11" s="69">
        <f t="shared" si="9"/>
        <v>16882.632149999998</v>
      </c>
      <c r="S11" s="32">
        <f t="shared" si="6"/>
        <v>-16882.632149999998</v>
      </c>
      <c r="T11" s="1"/>
      <c r="U11" s="33">
        <v>18714</v>
      </c>
      <c r="V11" s="77">
        <v>1.1499999999999999</v>
      </c>
      <c r="W11" s="42">
        <v>357</v>
      </c>
      <c r="X11" s="43">
        <f t="shared" si="10"/>
        <v>4499.456000000001</v>
      </c>
      <c r="Y11" s="42">
        <v>8</v>
      </c>
      <c r="Z11" s="2">
        <f t="shared" si="7"/>
        <v>6680898</v>
      </c>
      <c r="AA11" s="2">
        <f t="shared" si="11"/>
        <v>1642301.4399999999</v>
      </c>
      <c r="AB11" s="2">
        <f t="shared" si="12"/>
        <v>3275087.7640000004</v>
      </c>
      <c r="AC11" s="44">
        <f t="shared" si="8"/>
        <v>1763508.7960000001</v>
      </c>
      <c r="AD11" s="1"/>
      <c r="AE11" s="36">
        <f t="shared" si="2"/>
        <v>3306626.1638500001</v>
      </c>
      <c r="AF11" s="71">
        <f t="shared" si="3"/>
        <v>2149080.1266414099</v>
      </c>
      <c r="AG11" s="47">
        <v>6</v>
      </c>
      <c r="AH11" s="9"/>
      <c r="AI11" s="9"/>
    </row>
    <row r="12" spans="1:35" s="13" customFormat="1" x14ac:dyDescent="0.3">
      <c r="A12" s="8"/>
      <c r="B12" s="8"/>
      <c r="C12" s="1"/>
      <c r="D12" s="26">
        <v>5</v>
      </c>
      <c r="E12" s="27">
        <v>2007</v>
      </c>
      <c r="F12" s="1" t="s">
        <v>29</v>
      </c>
      <c r="G12" s="33">
        <v>-300000</v>
      </c>
      <c r="H12" s="5"/>
      <c r="I12" s="2">
        <f t="shared" si="4"/>
        <v>1560000</v>
      </c>
      <c r="J12" s="2">
        <f>-($G$12/5)</f>
        <v>60000</v>
      </c>
      <c r="K12" s="5">
        <f t="shared" si="1"/>
        <v>1620000</v>
      </c>
      <c r="L12" s="5">
        <f t="shared" si="5"/>
        <v>31200000</v>
      </c>
      <c r="M12" s="2"/>
      <c r="N12" s="2"/>
      <c r="O12" s="32">
        <f t="shared" si="0"/>
        <v>1320000</v>
      </c>
      <c r="P12" s="1"/>
      <c r="Q12" s="37"/>
      <c r="R12" s="69">
        <f t="shared" si="9"/>
        <v>17389.1111145</v>
      </c>
      <c r="S12" s="32">
        <f t="shared" si="6"/>
        <v>-17389.1111145</v>
      </c>
      <c r="T12" s="1"/>
      <c r="U12" s="33">
        <v>17283</v>
      </c>
      <c r="V12" s="77">
        <v>1.05</v>
      </c>
      <c r="W12" s="42">
        <v>357</v>
      </c>
      <c r="X12" s="43">
        <f t="shared" si="10"/>
        <v>4679.4342400000014</v>
      </c>
      <c r="Y12" s="42">
        <v>8</v>
      </c>
      <c r="Z12" s="2">
        <f t="shared" si="7"/>
        <v>6170031</v>
      </c>
      <c r="AA12" s="2">
        <f t="shared" si="11"/>
        <v>1707993.4975999999</v>
      </c>
      <c r="AB12" s="2">
        <f t="shared" si="12"/>
        <v>2900324.3765599998</v>
      </c>
      <c r="AC12" s="44">
        <f t="shared" si="8"/>
        <v>1561713.1258399999</v>
      </c>
      <c r="AD12" s="1"/>
      <c r="AE12" s="36">
        <f>SUM(O12,S12,AC12)</f>
        <v>2864324.0147254998</v>
      </c>
      <c r="AF12" s="71">
        <f t="shared" si="3"/>
        <v>1707902.8235763174</v>
      </c>
      <c r="AG12" s="47">
        <v>7</v>
      </c>
    </row>
    <row r="13" spans="1:35" s="4" customFormat="1" x14ac:dyDescent="0.3">
      <c r="C13" s="1"/>
      <c r="D13" s="26">
        <v>6</v>
      </c>
      <c r="E13" s="27">
        <v>2008</v>
      </c>
      <c r="F13" s="1"/>
      <c r="G13" s="33"/>
      <c r="H13" s="5"/>
      <c r="I13" s="2">
        <f t="shared" si="4"/>
        <v>1560000</v>
      </c>
      <c r="J13" s="2">
        <f>-($G$12/5)</f>
        <v>60000</v>
      </c>
      <c r="K13" s="5">
        <f t="shared" si="1"/>
        <v>1620000</v>
      </c>
      <c r="L13" s="5">
        <f t="shared" si="5"/>
        <v>29640000</v>
      </c>
      <c r="M13" s="2"/>
      <c r="N13" s="2"/>
      <c r="O13" s="32">
        <f t="shared" si="0"/>
        <v>1620000</v>
      </c>
      <c r="P13" s="1"/>
      <c r="Q13" s="37"/>
      <c r="R13" s="69">
        <f t="shared" si="9"/>
        <v>17910.784447934999</v>
      </c>
      <c r="S13" s="32">
        <f t="shared" si="6"/>
        <v>-17910.784447934999</v>
      </c>
      <c r="T13" s="1"/>
      <c r="U13" s="33">
        <v>17481</v>
      </c>
      <c r="V13" s="64">
        <v>1.05</v>
      </c>
      <c r="W13" s="42">
        <v>353</v>
      </c>
      <c r="X13" s="43">
        <f t="shared" si="10"/>
        <v>4866.6116096000014</v>
      </c>
      <c r="Y13" s="42">
        <v>12</v>
      </c>
      <c r="Z13" s="2">
        <f t="shared" si="7"/>
        <v>6170793</v>
      </c>
      <c r="AA13" s="2">
        <f t="shared" si="11"/>
        <v>1776313.2375039998</v>
      </c>
      <c r="AB13" s="2">
        <f t="shared" si="12"/>
        <v>2856411.8456224003</v>
      </c>
      <c r="AC13" s="44">
        <f t="shared" si="8"/>
        <v>1538067.9168735999</v>
      </c>
      <c r="AD13" s="1"/>
      <c r="AE13" s="36">
        <f t="shared" si="2"/>
        <v>3140157.1324256649</v>
      </c>
      <c r="AF13" s="71">
        <f t="shared" si="3"/>
        <v>1717773.4856258302</v>
      </c>
      <c r="AG13" s="47">
        <v>8</v>
      </c>
      <c r="AH13" s="5"/>
      <c r="AI13" s="5"/>
    </row>
    <row r="14" spans="1:35" s="4" customFormat="1" x14ac:dyDescent="0.3">
      <c r="C14" s="1"/>
      <c r="D14" s="26">
        <v>7</v>
      </c>
      <c r="E14" s="27">
        <v>2009</v>
      </c>
      <c r="F14" s="1"/>
      <c r="G14" s="33"/>
      <c r="H14" s="5"/>
      <c r="I14" s="2">
        <f t="shared" si="4"/>
        <v>1560000</v>
      </c>
      <c r="J14" s="2">
        <f>-($G$12/5)</f>
        <v>60000</v>
      </c>
      <c r="K14" s="5">
        <f t="shared" si="1"/>
        <v>1620000</v>
      </c>
      <c r="L14" s="5">
        <f t="shared" si="5"/>
        <v>28080000</v>
      </c>
      <c r="M14" s="2"/>
      <c r="N14" s="2"/>
      <c r="O14" s="32">
        <f t="shared" si="0"/>
        <v>1620000</v>
      </c>
      <c r="P14" s="1"/>
      <c r="Q14" s="37"/>
      <c r="R14" s="69">
        <f t="shared" si="9"/>
        <v>18448.10798137305</v>
      </c>
      <c r="S14" s="32">
        <f t="shared" si="6"/>
        <v>-18448.10798137305</v>
      </c>
      <c r="T14" s="1"/>
      <c r="U14" s="33">
        <v>17682</v>
      </c>
      <c r="V14" s="64">
        <v>1.05</v>
      </c>
      <c r="W14" s="42">
        <v>353</v>
      </c>
      <c r="X14" s="43">
        <f t="shared" si="10"/>
        <v>5061.2760739840014</v>
      </c>
      <c r="Y14" s="42">
        <v>12</v>
      </c>
      <c r="Z14" s="2">
        <f t="shared" si="7"/>
        <v>6241746</v>
      </c>
      <c r="AA14" s="2">
        <f t="shared" si="11"/>
        <v>1847365.76700416</v>
      </c>
      <c r="AB14" s="2">
        <f t="shared" si="12"/>
        <v>2856347.1514472961</v>
      </c>
      <c r="AC14" s="44">
        <f t="shared" si="8"/>
        <v>1538033.0815485436</v>
      </c>
      <c r="AD14" s="1"/>
      <c r="AE14" s="36">
        <f t="shared" si="2"/>
        <v>3139584.9735671706</v>
      </c>
      <c r="AF14" s="71">
        <f t="shared" si="3"/>
        <v>1575651.8304006818</v>
      </c>
      <c r="AG14" s="47">
        <v>9</v>
      </c>
      <c r="AH14" s="5"/>
      <c r="AI14" s="5"/>
    </row>
    <row r="15" spans="1:35" s="4" customFormat="1" x14ac:dyDescent="0.3">
      <c r="C15" s="1"/>
      <c r="D15" s="26">
        <v>8</v>
      </c>
      <c r="E15" s="27">
        <v>2010</v>
      </c>
      <c r="F15" s="1"/>
      <c r="G15" s="33"/>
      <c r="H15" s="5"/>
      <c r="I15" s="2">
        <f t="shared" si="4"/>
        <v>1560000</v>
      </c>
      <c r="J15" s="2">
        <f>-($G$12/5)</f>
        <v>60000</v>
      </c>
      <c r="K15" s="5">
        <f t="shared" si="1"/>
        <v>1620000</v>
      </c>
      <c r="L15" s="5">
        <f t="shared" si="5"/>
        <v>26520000</v>
      </c>
      <c r="M15" s="2"/>
      <c r="N15" s="2"/>
      <c r="O15" s="32">
        <f t="shared" si="0"/>
        <v>1620000</v>
      </c>
      <c r="P15" s="1"/>
      <c r="Q15" s="37"/>
      <c r="R15" s="69">
        <f t="shared" si="9"/>
        <v>19001.551220814243</v>
      </c>
      <c r="S15" s="32">
        <f t="shared" si="6"/>
        <v>-19001.551220814243</v>
      </c>
      <c r="T15" s="1"/>
      <c r="U15" s="33">
        <v>17886</v>
      </c>
      <c r="V15" s="64">
        <v>1.05</v>
      </c>
      <c r="W15" s="42">
        <v>353</v>
      </c>
      <c r="X15" s="43">
        <f t="shared" si="10"/>
        <v>5263.7271169433616</v>
      </c>
      <c r="Y15" s="42">
        <v>12</v>
      </c>
      <c r="Z15" s="2">
        <f t="shared" si="7"/>
        <v>6313758</v>
      </c>
      <c r="AA15" s="2">
        <f t="shared" si="11"/>
        <v>1921260.3976843264</v>
      </c>
      <c r="AB15" s="2">
        <f t="shared" si="12"/>
        <v>2855123.4415051881</v>
      </c>
      <c r="AC15" s="44">
        <f t="shared" si="8"/>
        <v>1537374.1608104855</v>
      </c>
      <c r="AD15" s="1"/>
      <c r="AE15" s="36">
        <f t="shared" si="2"/>
        <v>3138372.6095896713</v>
      </c>
      <c r="AF15" s="71">
        <f t="shared" si="3"/>
        <v>1444993.9319281513</v>
      </c>
      <c r="AG15" s="47">
        <v>10</v>
      </c>
      <c r="AH15" s="5"/>
      <c r="AI15" s="2"/>
    </row>
    <row r="16" spans="1:35" x14ac:dyDescent="0.3">
      <c r="D16" s="26">
        <v>9</v>
      </c>
      <c r="E16" s="27">
        <v>2011</v>
      </c>
      <c r="G16" s="33"/>
      <c r="H16" s="5"/>
      <c r="I16" s="2">
        <f t="shared" si="4"/>
        <v>1560000</v>
      </c>
      <c r="J16" s="2">
        <f>-($G$12/5)</f>
        <v>60000</v>
      </c>
      <c r="K16" s="5">
        <f t="shared" si="1"/>
        <v>1620000</v>
      </c>
      <c r="L16" s="5">
        <f t="shared" si="5"/>
        <v>24960000</v>
      </c>
      <c r="M16" s="2"/>
      <c r="N16" s="2"/>
      <c r="O16" s="32">
        <f t="shared" si="0"/>
        <v>1620000</v>
      </c>
      <c r="Q16" s="37"/>
      <c r="R16" s="69">
        <f t="shared" si="9"/>
        <v>19571.597757438671</v>
      </c>
      <c r="S16" s="32">
        <f t="shared" si="6"/>
        <v>-19571.597757438671</v>
      </c>
      <c r="U16" s="33">
        <v>18092</v>
      </c>
      <c r="V16" s="64">
        <v>1.05</v>
      </c>
      <c r="W16" s="42">
        <v>353</v>
      </c>
      <c r="X16" s="43">
        <f t="shared" si="10"/>
        <v>5474.2762016210963</v>
      </c>
      <c r="Y16" s="42">
        <v>12</v>
      </c>
      <c r="Z16" s="2">
        <f t="shared" si="7"/>
        <v>6386476</v>
      </c>
      <c r="AA16" s="2">
        <f t="shared" si="11"/>
        <v>1998110.8135916996</v>
      </c>
      <c r="AB16" s="2">
        <f t="shared" si="12"/>
        <v>2852437.3711653952</v>
      </c>
      <c r="AC16" s="44">
        <f t="shared" si="8"/>
        <v>1535927.8152429047</v>
      </c>
      <c r="AE16" s="36">
        <f t="shared" si="2"/>
        <v>3136356.217485466</v>
      </c>
      <c r="AF16" s="71">
        <f t="shared" si="3"/>
        <v>1324830.7605403466</v>
      </c>
      <c r="AG16" s="47">
        <v>11</v>
      </c>
      <c r="AH16" s="2"/>
      <c r="AI16" s="2"/>
    </row>
    <row r="17" spans="4:35" x14ac:dyDescent="0.3">
      <c r="D17" s="26">
        <v>10</v>
      </c>
      <c r="E17" s="27">
        <v>2012</v>
      </c>
      <c r="F17" s="1" t="s">
        <v>29</v>
      </c>
      <c r="G17" s="33">
        <v>-350000</v>
      </c>
      <c r="H17" s="5"/>
      <c r="I17" s="2">
        <f t="shared" si="4"/>
        <v>1560000</v>
      </c>
      <c r="J17" s="2">
        <f>-($G$17/5)</f>
        <v>70000</v>
      </c>
      <c r="K17" s="5">
        <f t="shared" si="1"/>
        <v>1630000</v>
      </c>
      <c r="L17" s="5">
        <f t="shared" si="5"/>
        <v>23400000</v>
      </c>
      <c r="M17" s="2"/>
      <c r="N17" s="2"/>
      <c r="O17" s="32">
        <f t="shared" si="0"/>
        <v>1280000</v>
      </c>
      <c r="Q17" s="37"/>
      <c r="R17" s="69">
        <f t="shared" si="9"/>
        <v>20158.745690161832</v>
      </c>
      <c r="S17" s="32">
        <f t="shared" si="6"/>
        <v>-20158.745690161832</v>
      </c>
      <c r="U17" s="33">
        <v>17428</v>
      </c>
      <c r="V17" s="64">
        <v>1</v>
      </c>
      <c r="W17" s="42">
        <v>353</v>
      </c>
      <c r="X17" s="43">
        <f t="shared" si="10"/>
        <v>5693.24724968594</v>
      </c>
      <c r="Y17" s="42">
        <v>12</v>
      </c>
      <c r="Z17" s="2">
        <f t="shared" si="7"/>
        <v>6152084</v>
      </c>
      <c r="AA17" s="2">
        <f t="shared" si="11"/>
        <v>2078035.2461353675</v>
      </c>
      <c r="AB17" s="2">
        <f t="shared" si="12"/>
        <v>2648131.6900120112</v>
      </c>
      <c r="AC17" s="44">
        <f t="shared" si="8"/>
        <v>1425917.0638526212</v>
      </c>
      <c r="AE17" s="36">
        <f t="shared" si="2"/>
        <v>2685758.3181624594</v>
      </c>
      <c r="AF17" s="71">
        <f t="shared" si="3"/>
        <v>1040819.5764236816</v>
      </c>
      <c r="AG17" s="47">
        <v>12</v>
      </c>
      <c r="AH17" s="2"/>
      <c r="AI17" s="2"/>
    </row>
    <row r="18" spans="4:35" x14ac:dyDescent="0.3">
      <c r="D18" s="26">
        <v>11</v>
      </c>
      <c r="E18" s="27">
        <v>2013</v>
      </c>
      <c r="G18" s="33"/>
      <c r="H18" s="5"/>
      <c r="I18" s="2">
        <f t="shared" si="4"/>
        <v>1560000</v>
      </c>
      <c r="J18" s="2">
        <f>-($G$17/5)</f>
        <v>70000</v>
      </c>
      <c r="K18" s="5">
        <f t="shared" si="1"/>
        <v>1630000</v>
      </c>
      <c r="L18" s="5">
        <f t="shared" si="5"/>
        <v>21840000</v>
      </c>
      <c r="M18" s="2"/>
      <c r="N18" s="2"/>
      <c r="O18" s="32">
        <f t="shared" si="0"/>
        <v>1630000</v>
      </c>
      <c r="Q18" s="37"/>
      <c r="R18" s="69">
        <f t="shared" si="9"/>
        <v>20763.508060866687</v>
      </c>
      <c r="S18" s="32">
        <f t="shared" si="6"/>
        <v>-20763.508060866687</v>
      </c>
      <c r="U18" s="33">
        <v>17628</v>
      </c>
      <c r="V18" s="64">
        <v>1</v>
      </c>
      <c r="W18" s="42">
        <v>349</v>
      </c>
      <c r="X18" s="43">
        <f t="shared" si="10"/>
        <v>5920.9771396733777</v>
      </c>
      <c r="Y18" s="42">
        <v>16</v>
      </c>
      <c r="Z18" s="2">
        <f t="shared" si="7"/>
        <v>6152172</v>
      </c>
      <c r="AA18" s="2">
        <f t="shared" si="11"/>
        <v>2161156.6559807821</v>
      </c>
      <c r="AB18" s="2">
        <f t="shared" si="12"/>
        <v>2594159.9736124915</v>
      </c>
      <c r="AC18" s="44">
        <f t="shared" si="8"/>
        <v>1396855.3704067264</v>
      </c>
      <c r="AE18" s="36">
        <f t="shared" si="2"/>
        <v>3006091.8623458594</v>
      </c>
      <c r="AF18" s="71">
        <f t="shared" si="3"/>
        <v>1068770.0439155616</v>
      </c>
      <c r="AG18" s="47">
        <v>13</v>
      </c>
      <c r="AH18" s="2"/>
      <c r="AI18" s="2"/>
    </row>
    <row r="19" spans="4:35" x14ac:dyDescent="0.3">
      <c r="D19" s="26">
        <v>12</v>
      </c>
      <c r="E19" s="27">
        <v>2014</v>
      </c>
      <c r="G19" s="33"/>
      <c r="H19" s="5"/>
      <c r="I19" s="2">
        <f t="shared" si="4"/>
        <v>1560000</v>
      </c>
      <c r="J19" s="2">
        <f>-($G$17/5)</f>
        <v>70000</v>
      </c>
      <c r="K19" s="5">
        <f t="shared" si="1"/>
        <v>1630000</v>
      </c>
      <c r="L19" s="5">
        <f t="shared" si="5"/>
        <v>20280000</v>
      </c>
      <c r="M19" s="2"/>
      <c r="N19" s="2"/>
      <c r="O19" s="32">
        <f t="shared" si="0"/>
        <v>1630000</v>
      </c>
      <c r="Q19" s="37"/>
      <c r="R19" s="69">
        <f t="shared" si="9"/>
        <v>21386.413302692687</v>
      </c>
      <c r="S19" s="32">
        <f t="shared" si="6"/>
        <v>-21386.413302692687</v>
      </c>
      <c r="U19" s="33">
        <v>17831</v>
      </c>
      <c r="V19" s="64">
        <v>1</v>
      </c>
      <c r="W19" s="42">
        <v>349</v>
      </c>
      <c r="X19" s="43">
        <f t="shared" si="10"/>
        <v>6157.8162252603133</v>
      </c>
      <c r="Y19" s="42">
        <v>16</v>
      </c>
      <c r="Z19" s="2">
        <f t="shared" si="7"/>
        <v>6223019</v>
      </c>
      <c r="AA19" s="2">
        <f t="shared" si="11"/>
        <v>2247602.9222200136</v>
      </c>
      <c r="AB19" s="2">
        <f t="shared" si="12"/>
        <v>2584020.4505569912</v>
      </c>
      <c r="AC19" s="44">
        <f t="shared" si="8"/>
        <v>1391395.6272229953</v>
      </c>
      <c r="AE19" s="36">
        <f t="shared" si="2"/>
        <v>3000009.2139203027</v>
      </c>
      <c r="AF19" s="71">
        <f t="shared" si="3"/>
        <v>978538.94603640249</v>
      </c>
      <c r="AG19" s="47">
        <v>14</v>
      </c>
      <c r="AH19" s="2"/>
      <c r="AI19" s="2"/>
    </row>
    <row r="20" spans="4:35" x14ac:dyDescent="0.3">
      <c r="D20" s="26">
        <v>13</v>
      </c>
      <c r="E20" s="27">
        <v>2015</v>
      </c>
      <c r="G20" s="33"/>
      <c r="H20" s="5"/>
      <c r="I20" s="2">
        <f t="shared" si="4"/>
        <v>1560000</v>
      </c>
      <c r="J20" s="2">
        <f>-($G$17/5)</f>
        <v>70000</v>
      </c>
      <c r="K20" s="5">
        <f t="shared" si="1"/>
        <v>1630000</v>
      </c>
      <c r="L20" s="5">
        <f t="shared" si="5"/>
        <v>18720000</v>
      </c>
      <c r="M20" s="2"/>
      <c r="N20" s="2"/>
      <c r="O20" s="32">
        <f t="shared" si="0"/>
        <v>1630000</v>
      </c>
      <c r="Q20" s="37"/>
      <c r="R20" s="69">
        <f t="shared" si="9"/>
        <v>22028.005701773469</v>
      </c>
      <c r="S20" s="32">
        <f t="shared" si="6"/>
        <v>-22028.005701773469</v>
      </c>
      <c r="U20" s="33">
        <v>18036</v>
      </c>
      <c r="V20" s="64">
        <v>1</v>
      </c>
      <c r="W20" s="42">
        <v>349</v>
      </c>
      <c r="X20" s="43">
        <f t="shared" si="10"/>
        <v>6404.1288742707256</v>
      </c>
      <c r="Y20" s="42">
        <v>16</v>
      </c>
      <c r="Z20" s="2">
        <f t="shared" si="7"/>
        <v>6294564</v>
      </c>
      <c r="AA20" s="2">
        <f t="shared" si="11"/>
        <v>2337507.0391088142</v>
      </c>
      <c r="AB20" s="2">
        <f t="shared" si="12"/>
        <v>2572087.0245792707</v>
      </c>
      <c r="AC20" s="44">
        <f t="shared" si="8"/>
        <v>1384969.9363119151</v>
      </c>
      <c r="AE20" s="36">
        <f t="shared" si="2"/>
        <v>2992941.9306101417</v>
      </c>
      <c r="AF20" s="71">
        <f t="shared" si="3"/>
        <v>895627.29277903435</v>
      </c>
      <c r="AG20" s="47">
        <v>15</v>
      </c>
      <c r="AH20" s="2"/>
      <c r="AI20" s="2"/>
    </row>
    <row r="21" spans="4:35" x14ac:dyDescent="0.3">
      <c r="D21" s="26">
        <v>14</v>
      </c>
      <c r="E21" s="27">
        <v>2016</v>
      </c>
      <c r="G21" s="33"/>
      <c r="H21" s="5"/>
      <c r="I21" s="2">
        <f t="shared" si="4"/>
        <v>1560000</v>
      </c>
      <c r="J21" s="2">
        <f>-($G$17/5)</f>
        <v>70000</v>
      </c>
      <c r="K21" s="5">
        <f t="shared" si="1"/>
        <v>1630000</v>
      </c>
      <c r="L21" s="5">
        <f t="shared" si="5"/>
        <v>17160000</v>
      </c>
      <c r="M21" s="2"/>
      <c r="N21" s="2"/>
      <c r="O21" s="32">
        <f t="shared" si="0"/>
        <v>1630000</v>
      </c>
      <c r="Q21" s="37"/>
      <c r="R21" s="69">
        <f t="shared" si="9"/>
        <v>22688.845872826674</v>
      </c>
      <c r="S21" s="32">
        <f t="shared" si="6"/>
        <v>-22688.845872826674</v>
      </c>
      <c r="U21" s="33">
        <v>18243</v>
      </c>
      <c r="V21" s="64">
        <v>1</v>
      </c>
      <c r="W21" s="42">
        <v>349</v>
      </c>
      <c r="X21" s="43">
        <f t="shared" si="10"/>
        <v>6660.2940292415551</v>
      </c>
      <c r="Y21" s="42">
        <v>16</v>
      </c>
      <c r="Z21" s="2">
        <f t="shared" si="7"/>
        <v>6366807</v>
      </c>
      <c r="AA21" s="2">
        <f t="shared" si="11"/>
        <v>2431007.3206731668</v>
      </c>
      <c r="AB21" s="2">
        <f t="shared" si="12"/>
        <v>2558269.7915624417</v>
      </c>
      <c r="AC21" s="44">
        <f t="shared" si="8"/>
        <v>1377529.8877643915</v>
      </c>
      <c r="AE21" s="36">
        <f t="shared" si="2"/>
        <v>2984841.0418915646</v>
      </c>
      <c r="AF21" s="71">
        <f t="shared" si="3"/>
        <v>819452.41327191587</v>
      </c>
      <c r="AG21" s="47">
        <v>16</v>
      </c>
      <c r="AH21" s="2"/>
      <c r="AI21" s="2"/>
    </row>
    <row r="22" spans="4:35" x14ac:dyDescent="0.3">
      <c r="D22" s="26">
        <v>15</v>
      </c>
      <c r="E22" s="27">
        <v>2017</v>
      </c>
      <c r="F22" s="1" t="s">
        <v>29</v>
      </c>
      <c r="G22" s="33">
        <v>-750000</v>
      </c>
      <c r="H22" s="5"/>
      <c r="I22" s="2">
        <f t="shared" si="4"/>
        <v>1560000</v>
      </c>
      <c r="J22" s="2">
        <f>-($G$22/5)</f>
        <v>150000</v>
      </c>
      <c r="K22" s="5">
        <f t="shared" si="1"/>
        <v>1710000</v>
      </c>
      <c r="L22" s="5">
        <f t="shared" si="5"/>
        <v>15600000</v>
      </c>
      <c r="M22" s="75"/>
      <c r="N22" s="2"/>
      <c r="O22" s="32">
        <f t="shared" si="0"/>
        <v>960000</v>
      </c>
      <c r="Q22" s="37"/>
      <c r="R22" s="69">
        <f t="shared" si="9"/>
        <v>23369.511249011473</v>
      </c>
      <c r="S22" s="32">
        <f t="shared" si="6"/>
        <v>-23369.511249011473</v>
      </c>
      <c r="U22" s="33">
        <v>14762</v>
      </c>
      <c r="V22" s="64">
        <v>0.8</v>
      </c>
      <c r="W22" s="42">
        <v>349</v>
      </c>
      <c r="X22" s="43">
        <f t="shared" si="10"/>
        <v>6926.705790411218</v>
      </c>
      <c r="Y22" s="42">
        <v>16</v>
      </c>
      <c r="Z22" s="2">
        <f t="shared" si="7"/>
        <v>5151938</v>
      </c>
      <c r="AA22" s="2">
        <f t="shared" si="11"/>
        <v>2528247.6135000936</v>
      </c>
      <c r="AB22" s="2">
        <f t="shared" si="12"/>
        <v>1705398.7512249392</v>
      </c>
      <c r="AC22" s="44">
        <f t="shared" si="8"/>
        <v>918291.63527496718</v>
      </c>
      <c r="AE22" s="36">
        <f t="shared" si="2"/>
        <v>1854922.1240259558</v>
      </c>
      <c r="AF22" s="71">
        <f t="shared" si="3"/>
        <v>467198.79515454493</v>
      </c>
      <c r="AG22" s="47">
        <v>17</v>
      </c>
      <c r="AH22" s="2"/>
      <c r="AI22" s="2"/>
    </row>
    <row r="23" spans="4:35" x14ac:dyDescent="0.3">
      <c r="D23" s="26">
        <v>16</v>
      </c>
      <c r="E23" s="27">
        <v>2018</v>
      </c>
      <c r="G23" s="33"/>
      <c r="H23" s="5"/>
      <c r="I23" s="2">
        <f t="shared" si="4"/>
        <v>1560000</v>
      </c>
      <c r="J23" s="2">
        <f>-($G$22/5)</f>
        <v>150000</v>
      </c>
      <c r="K23" s="5">
        <f t="shared" si="1"/>
        <v>1710000</v>
      </c>
      <c r="L23" s="5">
        <f t="shared" si="5"/>
        <v>14040000</v>
      </c>
      <c r="M23" s="2"/>
      <c r="N23" s="2"/>
      <c r="O23" s="32">
        <f t="shared" si="0"/>
        <v>1710000</v>
      </c>
      <c r="Q23" s="37"/>
      <c r="R23" s="69">
        <f t="shared" si="9"/>
        <v>24070.596586481817</v>
      </c>
      <c r="S23" s="32">
        <f t="shared" si="6"/>
        <v>-24070.596586481817</v>
      </c>
      <c r="U23" s="33">
        <v>14932</v>
      </c>
      <c r="V23" s="64">
        <v>0.8</v>
      </c>
      <c r="W23" s="42">
        <v>349</v>
      </c>
      <c r="X23" s="43">
        <f t="shared" si="10"/>
        <v>7203.7740220276673</v>
      </c>
      <c r="Y23" s="42">
        <v>16</v>
      </c>
      <c r="Z23" s="2">
        <f t="shared" si="7"/>
        <v>5211268</v>
      </c>
      <c r="AA23" s="2">
        <f t="shared" si="11"/>
        <v>2629377.5180400973</v>
      </c>
      <c r="AB23" s="2">
        <f t="shared" si="12"/>
        <v>1678228.8132739367</v>
      </c>
      <c r="AC23" s="44">
        <f t="shared" si="8"/>
        <v>903661.66868596594</v>
      </c>
      <c r="AE23" s="36">
        <f t="shared" si="2"/>
        <v>2589591.072099484</v>
      </c>
      <c r="AF23" s="71">
        <f t="shared" si="3"/>
        <v>598385.0355493048</v>
      </c>
      <c r="AG23" s="47">
        <v>18</v>
      </c>
      <c r="AH23" s="2"/>
      <c r="AI23" s="2"/>
    </row>
    <row r="24" spans="4:35" x14ac:dyDescent="0.3">
      <c r="D24" s="26">
        <v>17</v>
      </c>
      <c r="E24" s="27">
        <v>2019</v>
      </c>
      <c r="G24" s="33"/>
      <c r="H24" s="5"/>
      <c r="I24" s="2">
        <f t="shared" si="4"/>
        <v>1560000</v>
      </c>
      <c r="J24" s="2">
        <f>-($G$22/5)</f>
        <v>150000</v>
      </c>
      <c r="K24" s="5">
        <f t="shared" si="1"/>
        <v>1710000</v>
      </c>
      <c r="L24" s="5">
        <f t="shared" si="5"/>
        <v>12480000</v>
      </c>
      <c r="M24" s="2"/>
      <c r="N24" s="2"/>
      <c r="O24" s="32">
        <f t="shared" si="0"/>
        <v>1710000</v>
      </c>
      <c r="Q24" s="37"/>
      <c r="R24" s="69">
        <f t="shared" si="9"/>
        <v>24792.714484076274</v>
      </c>
      <c r="S24" s="32">
        <f t="shared" si="6"/>
        <v>-24792.714484076274</v>
      </c>
      <c r="U24" s="33">
        <v>15104</v>
      </c>
      <c r="V24" s="64">
        <v>0.8</v>
      </c>
      <c r="W24" s="42">
        <v>349</v>
      </c>
      <c r="X24" s="43">
        <f t="shared" si="10"/>
        <v>7491.9249829087739</v>
      </c>
      <c r="Y24" s="42">
        <v>16</v>
      </c>
      <c r="Z24" s="2">
        <f t="shared" si="7"/>
        <v>5271296</v>
      </c>
      <c r="AA24" s="2">
        <f t="shared" si="11"/>
        <v>2734552.6187617015</v>
      </c>
      <c r="AB24" s="2">
        <f t="shared" si="12"/>
        <v>1648883.1978048941</v>
      </c>
      <c r="AC24" s="44">
        <f t="shared" si="8"/>
        <v>887860.18343340443</v>
      </c>
      <c r="AE24" s="36">
        <f t="shared" si="2"/>
        <v>2573067.4689493282</v>
      </c>
      <c r="AF24" s="71">
        <f t="shared" si="3"/>
        <v>545474.19640166347</v>
      </c>
      <c r="AG24" s="47">
        <v>19</v>
      </c>
      <c r="AH24" s="2"/>
      <c r="AI24" s="2"/>
    </row>
    <row r="25" spans="4:35" x14ac:dyDescent="0.3">
      <c r="D25" s="26">
        <v>18</v>
      </c>
      <c r="E25" s="27">
        <v>2020</v>
      </c>
      <c r="G25" s="33"/>
      <c r="H25" s="5"/>
      <c r="I25" s="2">
        <f t="shared" si="4"/>
        <v>1560000</v>
      </c>
      <c r="J25" s="2">
        <f>-($G$22/5)</f>
        <v>150000</v>
      </c>
      <c r="K25" s="5">
        <f t="shared" si="1"/>
        <v>1710000</v>
      </c>
      <c r="L25" s="5">
        <f t="shared" si="5"/>
        <v>10920000</v>
      </c>
      <c r="M25" s="2"/>
      <c r="N25" s="2"/>
      <c r="O25" s="32">
        <f t="shared" si="0"/>
        <v>1710000</v>
      </c>
      <c r="Q25" s="37"/>
      <c r="R25" s="69">
        <f t="shared" si="9"/>
        <v>25536.495918598564</v>
      </c>
      <c r="S25" s="32">
        <f t="shared" si="6"/>
        <v>-25536.495918598564</v>
      </c>
      <c r="U25" s="33">
        <v>15278</v>
      </c>
      <c r="V25" s="64">
        <v>0.8</v>
      </c>
      <c r="W25" s="42">
        <v>349</v>
      </c>
      <c r="X25" s="43">
        <f t="shared" si="10"/>
        <v>7791.6019822251255</v>
      </c>
      <c r="Y25" s="42">
        <v>16</v>
      </c>
      <c r="Z25" s="2">
        <f t="shared" si="7"/>
        <v>5332022</v>
      </c>
      <c r="AA25" s="2">
        <f t="shared" si="11"/>
        <v>2843934.7235121694</v>
      </c>
      <c r="AB25" s="2">
        <f t="shared" si="12"/>
        <v>1617256.72971709</v>
      </c>
      <c r="AC25" s="44">
        <f t="shared" si="8"/>
        <v>870830.54677074053</v>
      </c>
      <c r="AE25" s="36">
        <f t="shared" si="2"/>
        <v>2555294.0508521423</v>
      </c>
      <c r="AF25" s="71">
        <f t="shared" si="3"/>
        <v>496978.29635228054</v>
      </c>
      <c r="AG25" s="47">
        <v>20</v>
      </c>
      <c r="AH25" s="2"/>
      <c r="AI25" s="2"/>
    </row>
    <row r="26" spans="4:35" x14ac:dyDescent="0.3">
      <c r="D26" s="26">
        <v>19</v>
      </c>
      <c r="E26" s="27">
        <v>2021</v>
      </c>
      <c r="G26" s="33"/>
      <c r="H26" s="5"/>
      <c r="I26" s="2">
        <f t="shared" si="4"/>
        <v>1560000</v>
      </c>
      <c r="J26" s="2">
        <f>-($G$22/5)</f>
        <v>150000</v>
      </c>
      <c r="K26" s="5">
        <f t="shared" si="1"/>
        <v>1710000</v>
      </c>
      <c r="L26" s="5">
        <f t="shared" si="5"/>
        <v>9360000</v>
      </c>
      <c r="M26" s="2"/>
      <c r="N26" s="2"/>
      <c r="O26" s="32">
        <f t="shared" si="0"/>
        <v>1710000</v>
      </c>
      <c r="Q26" s="37"/>
      <c r="R26" s="69">
        <f t="shared" si="9"/>
        <v>26302.590796156521</v>
      </c>
      <c r="S26" s="32">
        <f t="shared" si="6"/>
        <v>-26302.590796156521</v>
      </c>
      <c r="U26" s="33">
        <v>15454</v>
      </c>
      <c r="V26" s="64">
        <v>0.8</v>
      </c>
      <c r="W26" s="42">
        <v>349</v>
      </c>
      <c r="X26" s="43">
        <f t="shared" si="10"/>
        <v>8103.2660615141313</v>
      </c>
      <c r="Y26" s="42">
        <v>16</v>
      </c>
      <c r="Z26" s="2">
        <f t="shared" si="7"/>
        <v>5393446</v>
      </c>
      <c r="AA26" s="2">
        <f t="shared" si="11"/>
        <v>2957692.1124526565</v>
      </c>
      <c r="AB26" s="2">
        <f t="shared" si="12"/>
        <v>1583240.0269057734</v>
      </c>
      <c r="AC26" s="44">
        <f t="shared" si="8"/>
        <v>852513.86064157006</v>
      </c>
      <c r="AE26" s="36">
        <f t="shared" si="2"/>
        <v>2536211.2698454135</v>
      </c>
      <c r="AF26" s="71">
        <f t="shared" si="3"/>
        <v>452538.43355433049</v>
      </c>
      <c r="AG26" s="47">
        <v>21</v>
      </c>
      <c r="AH26" s="2"/>
      <c r="AI26" s="2"/>
    </row>
    <row r="27" spans="4:35" x14ac:dyDescent="0.3">
      <c r="D27" s="26">
        <v>20</v>
      </c>
      <c r="E27" s="27">
        <v>2022</v>
      </c>
      <c r="G27" s="33">
        <v>-850000</v>
      </c>
      <c r="H27" s="5"/>
      <c r="I27" s="2">
        <f t="shared" si="4"/>
        <v>1560000</v>
      </c>
      <c r="J27" s="2">
        <f>-($G$27/5)</f>
        <v>170000</v>
      </c>
      <c r="K27" s="5">
        <f t="shared" si="1"/>
        <v>1730000</v>
      </c>
      <c r="L27" s="5">
        <f t="shared" si="5"/>
        <v>7800000</v>
      </c>
      <c r="M27" s="2"/>
      <c r="N27" s="2"/>
      <c r="O27" s="32">
        <f t="shared" si="0"/>
        <v>880000</v>
      </c>
      <c r="Q27" s="37"/>
      <c r="R27" s="69">
        <f t="shared" si="9"/>
        <v>27091.668520041218</v>
      </c>
      <c r="S27" s="32">
        <f t="shared" si="6"/>
        <v>-27091.668520041218</v>
      </c>
      <c r="U27" s="33">
        <v>14654</v>
      </c>
      <c r="V27" s="64">
        <v>0.75</v>
      </c>
      <c r="W27" s="42">
        <v>349</v>
      </c>
      <c r="X27" s="43">
        <f t="shared" si="10"/>
        <v>8427.3967039746967</v>
      </c>
      <c r="Y27" s="42">
        <v>16</v>
      </c>
      <c r="Z27" s="2">
        <f t="shared" si="7"/>
        <v>5114246</v>
      </c>
      <c r="AA27" s="2">
        <f t="shared" si="11"/>
        <v>3075999.7969507631</v>
      </c>
      <c r="AB27" s="2">
        <f t="shared" si="12"/>
        <v>1324860.0319820039</v>
      </c>
      <c r="AC27" s="44">
        <f t="shared" si="8"/>
        <v>713386.17106723296</v>
      </c>
      <c r="AE27" s="36">
        <f t="shared" si="2"/>
        <v>1566294.5025471917</v>
      </c>
      <c r="AF27" s="71">
        <f t="shared" si="3"/>
        <v>256399.37775281532</v>
      </c>
      <c r="AG27" s="47">
        <v>22</v>
      </c>
      <c r="AH27" s="2"/>
      <c r="AI27" s="2"/>
    </row>
    <row r="28" spans="4:35" x14ac:dyDescent="0.3">
      <c r="D28" s="26">
        <v>21</v>
      </c>
      <c r="E28" s="27">
        <v>2023</v>
      </c>
      <c r="G28" s="33"/>
      <c r="H28" s="5"/>
      <c r="I28" s="2">
        <f t="shared" si="4"/>
        <v>1560000</v>
      </c>
      <c r="J28" s="2">
        <f>-($G$27/5)</f>
        <v>170000</v>
      </c>
      <c r="K28" s="5">
        <f t="shared" si="1"/>
        <v>1730000</v>
      </c>
      <c r="L28" s="5">
        <f t="shared" si="5"/>
        <v>6240000</v>
      </c>
      <c r="M28" s="2"/>
      <c r="N28" s="2"/>
      <c r="O28" s="32">
        <f t="shared" si="0"/>
        <v>1730000</v>
      </c>
      <c r="Q28" s="37"/>
      <c r="R28" s="69">
        <f t="shared" si="9"/>
        <v>27904.418575642456</v>
      </c>
      <c r="S28" s="32">
        <f t="shared" si="6"/>
        <v>-27904.418575642456</v>
      </c>
      <c r="U28" s="33">
        <v>14823</v>
      </c>
      <c r="V28" s="64">
        <v>0.75</v>
      </c>
      <c r="W28" s="42">
        <v>349</v>
      </c>
      <c r="X28" s="43">
        <f t="shared" si="10"/>
        <v>8764.492572133684</v>
      </c>
      <c r="Y28" s="42">
        <v>16</v>
      </c>
      <c r="Z28" s="2">
        <f t="shared" si="7"/>
        <v>5173227</v>
      </c>
      <c r="AA28" s="2">
        <f t="shared" si="11"/>
        <v>3199039.7888287939</v>
      </c>
      <c r="AB28" s="2">
        <f t="shared" si="12"/>
        <v>1283221.6872612841</v>
      </c>
      <c r="AC28" s="44">
        <f t="shared" si="8"/>
        <v>690965.52390992199</v>
      </c>
      <c r="AE28" s="36">
        <f t="shared" si="2"/>
        <v>2393061.1053342796</v>
      </c>
      <c r="AF28" s="71">
        <f t="shared" si="3"/>
        <v>359394.00919798913</v>
      </c>
      <c r="AG28" s="47">
        <v>23</v>
      </c>
      <c r="AH28" s="2"/>
      <c r="AI28" s="2"/>
    </row>
    <row r="29" spans="4:35" x14ac:dyDescent="0.3">
      <c r="D29" s="26">
        <v>22</v>
      </c>
      <c r="E29" s="27">
        <v>2024</v>
      </c>
      <c r="G29" s="33"/>
      <c r="H29" s="5"/>
      <c r="I29" s="2">
        <f t="shared" si="4"/>
        <v>1560000</v>
      </c>
      <c r="J29" s="2">
        <f>-($G$27/5)</f>
        <v>170000</v>
      </c>
      <c r="K29" s="5">
        <f t="shared" si="1"/>
        <v>1730000</v>
      </c>
      <c r="L29" s="5">
        <f t="shared" si="5"/>
        <v>4680000</v>
      </c>
      <c r="M29" s="2"/>
      <c r="N29" s="2"/>
      <c r="O29" s="32">
        <f t="shared" si="0"/>
        <v>1730000</v>
      </c>
      <c r="Q29" s="37"/>
      <c r="R29" s="69">
        <f t="shared" si="9"/>
        <v>28741.551132911729</v>
      </c>
      <c r="S29" s="32">
        <f t="shared" si="6"/>
        <v>-28741.551132911729</v>
      </c>
      <c r="U29" s="33">
        <v>14993</v>
      </c>
      <c r="V29" s="64">
        <v>0.75</v>
      </c>
      <c r="W29" s="42">
        <v>349</v>
      </c>
      <c r="X29" s="43">
        <f t="shared" si="10"/>
        <v>9115.0722750190325</v>
      </c>
      <c r="Y29" s="42">
        <v>16</v>
      </c>
      <c r="Z29" s="2">
        <f t="shared" si="7"/>
        <v>5232557</v>
      </c>
      <c r="AA29" s="2">
        <f t="shared" si="11"/>
        <v>3327001.380381946</v>
      </c>
      <c r="AB29" s="2">
        <f t="shared" si="12"/>
        <v>1238611.1527517352</v>
      </c>
      <c r="AC29" s="44">
        <f t="shared" si="8"/>
        <v>666944.46686631883</v>
      </c>
      <c r="AE29" s="36">
        <f t="shared" si="2"/>
        <v>2368202.9157334073</v>
      </c>
      <c r="AF29" s="71">
        <f t="shared" si="3"/>
        <v>326294.27869126556</v>
      </c>
      <c r="AG29" s="47">
        <v>24</v>
      </c>
      <c r="AH29" s="2"/>
      <c r="AI29" s="2"/>
    </row>
    <row r="30" spans="4:35" x14ac:dyDescent="0.3">
      <c r="D30" s="26">
        <v>23</v>
      </c>
      <c r="E30" s="27">
        <v>2025</v>
      </c>
      <c r="G30" s="33"/>
      <c r="H30" s="5"/>
      <c r="I30" s="2">
        <f t="shared" si="4"/>
        <v>1560000</v>
      </c>
      <c r="J30" s="2">
        <f>-($G$27/5)</f>
        <v>170000</v>
      </c>
      <c r="K30" s="5">
        <f t="shared" si="1"/>
        <v>1730000</v>
      </c>
      <c r="L30" s="5">
        <f t="shared" si="5"/>
        <v>3120000</v>
      </c>
      <c r="M30" s="2"/>
      <c r="N30" s="2"/>
      <c r="O30" s="32">
        <f t="shared" si="0"/>
        <v>1730000</v>
      </c>
      <c r="Q30" s="37"/>
      <c r="R30" s="69">
        <f t="shared" si="9"/>
        <v>29603.797666899081</v>
      </c>
      <c r="S30" s="32">
        <f t="shared" si="6"/>
        <v>-29603.797666899081</v>
      </c>
      <c r="U30" s="33">
        <v>15166</v>
      </c>
      <c r="V30" s="64">
        <v>0.75</v>
      </c>
      <c r="W30" s="42">
        <v>349</v>
      </c>
      <c r="X30" s="43">
        <f t="shared" si="10"/>
        <v>9479.6751660197933</v>
      </c>
      <c r="Y30" s="42">
        <v>16</v>
      </c>
      <c r="Z30" s="2">
        <f t="shared" si="7"/>
        <v>5292934</v>
      </c>
      <c r="AA30" s="2">
        <f t="shared" si="11"/>
        <v>3460081.4355972242</v>
      </c>
      <c r="AB30" s="2">
        <f t="shared" si="12"/>
        <v>1191354.1668618044</v>
      </c>
      <c r="AC30" s="44">
        <f t="shared" si="8"/>
        <v>641498.3975409714</v>
      </c>
      <c r="AE30" s="36">
        <f t="shared" si="2"/>
        <v>2341894.5998740722</v>
      </c>
      <c r="AF30" s="71">
        <f t="shared" si="3"/>
        <v>296027.04815049045</v>
      </c>
      <c r="AG30" s="47">
        <v>25</v>
      </c>
      <c r="AH30" s="2"/>
      <c r="AI30" s="2"/>
    </row>
    <row r="31" spans="4:35" x14ac:dyDescent="0.3">
      <c r="D31" s="26">
        <v>24</v>
      </c>
      <c r="E31" s="27">
        <v>2026</v>
      </c>
      <c r="G31" s="33"/>
      <c r="H31" s="5"/>
      <c r="I31" s="2">
        <f t="shared" si="4"/>
        <v>1560000</v>
      </c>
      <c r="J31" s="2">
        <f>-($G$27/5)</f>
        <v>170000</v>
      </c>
      <c r="K31" s="5">
        <f t="shared" si="1"/>
        <v>1730000</v>
      </c>
      <c r="L31" s="5">
        <f t="shared" si="5"/>
        <v>1560000</v>
      </c>
      <c r="M31" s="2"/>
      <c r="N31" s="2"/>
      <c r="O31" s="32">
        <f t="shared" si="0"/>
        <v>1730000</v>
      </c>
      <c r="Q31" s="37"/>
      <c r="R31" s="69">
        <f t="shared" si="9"/>
        <v>30491.911596906055</v>
      </c>
      <c r="S31" s="32">
        <f t="shared" si="6"/>
        <v>-30491.911596906055</v>
      </c>
      <c r="U31" s="33">
        <v>15341</v>
      </c>
      <c r="V31" s="64">
        <v>0.75</v>
      </c>
      <c r="W31" s="42">
        <v>349</v>
      </c>
      <c r="X31" s="43">
        <f t="shared" si="10"/>
        <v>9858.8621726605852</v>
      </c>
      <c r="Y31" s="42">
        <v>16</v>
      </c>
      <c r="Z31" s="2">
        <f t="shared" si="7"/>
        <v>5354009</v>
      </c>
      <c r="AA31" s="2">
        <f t="shared" si="11"/>
        <v>3598484.6930211131</v>
      </c>
      <c r="AB31" s="2">
        <f t="shared" si="12"/>
        <v>1141090.7995362766</v>
      </c>
      <c r="AC31" s="44">
        <f t="shared" si="8"/>
        <v>614433.50744261034</v>
      </c>
      <c r="AE31" s="36">
        <f t="shared" si="2"/>
        <v>2313941.595845704</v>
      </c>
      <c r="AF31" s="71">
        <f t="shared" si="3"/>
        <v>268342.79847006674</v>
      </c>
      <c r="AG31" s="47">
        <v>26</v>
      </c>
      <c r="AH31" s="2"/>
      <c r="AI31" s="2"/>
    </row>
    <row r="32" spans="4:35" ht="13.5" thickBot="1" x14ac:dyDescent="0.35">
      <c r="D32" s="28">
        <v>25</v>
      </c>
      <c r="E32" s="29">
        <v>2027</v>
      </c>
      <c r="G32" s="34">
        <v>-1250000</v>
      </c>
      <c r="H32" s="76"/>
      <c r="I32" s="35">
        <f t="shared" si="4"/>
        <v>1560000</v>
      </c>
      <c r="J32" s="35">
        <f>-($G$32/5)</f>
        <v>250000</v>
      </c>
      <c r="K32" s="76">
        <f>I32+J32</f>
        <v>1810000</v>
      </c>
      <c r="L32" s="76">
        <f t="shared" si="5"/>
        <v>0</v>
      </c>
      <c r="M32" s="35">
        <v>0</v>
      </c>
      <c r="N32" s="35">
        <v>0</v>
      </c>
      <c r="O32" s="66">
        <f t="shared" si="0"/>
        <v>560000</v>
      </c>
      <c r="Q32" s="38"/>
      <c r="R32" s="70">
        <f t="shared" si="9"/>
        <v>31406.668944813238</v>
      </c>
      <c r="S32" s="66">
        <f t="shared" si="6"/>
        <v>-31406.668944813238</v>
      </c>
      <c r="U32" s="34">
        <v>13448</v>
      </c>
      <c r="V32" s="65">
        <v>0.65</v>
      </c>
      <c r="W32" s="45">
        <v>349</v>
      </c>
      <c r="X32" s="67">
        <f t="shared" si="10"/>
        <v>10253.21665956701</v>
      </c>
      <c r="Y32" s="45">
        <v>16</v>
      </c>
      <c r="Z32" s="35">
        <f t="shared" si="7"/>
        <v>4693352</v>
      </c>
      <c r="AA32" s="35">
        <f t="shared" si="11"/>
        <v>3742424.0807419578</v>
      </c>
      <c r="AB32" s="35">
        <f t="shared" si="12"/>
        <v>618103.14751772746</v>
      </c>
      <c r="AC32" s="46">
        <f t="shared" si="8"/>
        <v>332824.77174031478</v>
      </c>
      <c r="AE32" s="48">
        <f t="shared" si="2"/>
        <v>861418.10279550159</v>
      </c>
      <c r="AF32" s="72">
        <f t="shared" si="3"/>
        <v>91648.433842913117</v>
      </c>
      <c r="AG32" s="68">
        <v>27</v>
      </c>
      <c r="AH32" s="2"/>
      <c r="AI32" s="2"/>
    </row>
    <row r="33" spans="3:35" x14ac:dyDescent="0.3">
      <c r="I33" s="2"/>
      <c r="J33" s="2"/>
      <c r="O33" s="73"/>
      <c r="U33" s="1"/>
      <c r="V33" s="1"/>
      <c r="X33" s="3"/>
      <c r="AE33" s="1" t="s">
        <v>30</v>
      </c>
      <c r="AF33" s="73">
        <f>NPV(0.09,AE7:AE32)+AE6</f>
        <v>-7158079.6549376929</v>
      </c>
      <c r="AG33" s="73"/>
      <c r="AH33" s="2"/>
      <c r="AI33" s="2"/>
    </row>
    <row r="34" spans="3:35" ht="13.15" customHeight="1" x14ac:dyDescent="0.4">
      <c r="C34" s="78"/>
      <c r="D34" s="81" t="s">
        <v>31</v>
      </c>
      <c r="E34" s="81"/>
      <c r="F34" s="81"/>
      <c r="G34" s="81"/>
      <c r="H34" s="81"/>
      <c r="J34" s="2"/>
      <c r="O34" s="73"/>
      <c r="U34" s="1"/>
      <c r="V34" s="1"/>
      <c r="X34" s="3" t="s">
        <v>32</v>
      </c>
      <c r="AE34" s="2"/>
      <c r="AF34" s="71">
        <f>NPV(0.09,AE5:AE32)</f>
        <v>-6024812.435769462</v>
      </c>
      <c r="AH34" s="2"/>
      <c r="AI34" s="2"/>
    </row>
    <row r="35" spans="3:35" x14ac:dyDescent="0.3">
      <c r="J35" s="2"/>
      <c r="U35" s="1"/>
      <c r="V35" s="1"/>
      <c r="X35" s="3"/>
      <c r="AE35" s="2"/>
      <c r="AH35" s="2"/>
      <c r="AI35" s="2"/>
    </row>
    <row r="36" spans="3:35" x14ac:dyDescent="0.3">
      <c r="J36" s="2"/>
      <c r="N36" s="2"/>
      <c r="Q36" s="2"/>
      <c r="R36" s="2"/>
      <c r="U36" s="1"/>
      <c r="V36" s="1"/>
      <c r="W36" s="3"/>
      <c r="AG36" s="2"/>
      <c r="AH36" s="2"/>
    </row>
    <row r="37" spans="3:35" x14ac:dyDescent="0.3">
      <c r="T37" s="7"/>
      <c r="U37" s="7"/>
      <c r="V37" s="1"/>
      <c r="W37" s="3"/>
      <c r="AD37" s="2"/>
      <c r="AG37" s="2"/>
      <c r="AH37" s="2"/>
    </row>
    <row r="38" spans="3:35" x14ac:dyDescent="0.3">
      <c r="U38" s="1"/>
      <c r="V38" s="1"/>
      <c r="W38" s="3"/>
      <c r="AG38" s="2"/>
      <c r="AH38" s="2"/>
    </row>
    <row r="39" spans="3:35" x14ac:dyDescent="0.3">
      <c r="U39" s="6"/>
      <c r="V39" s="6"/>
      <c r="X39" s="6"/>
      <c r="AH39" s="2"/>
      <c r="AI39" s="2"/>
    </row>
    <row r="40" spans="3:35" x14ac:dyDescent="0.3">
      <c r="U40" s="1"/>
      <c r="V40" s="1"/>
      <c r="X40" s="3"/>
      <c r="AH40" s="2"/>
      <c r="AI40" s="2"/>
    </row>
    <row r="42" spans="3:35" x14ac:dyDescent="0.3">
      <c r="AI42" s="2"/>
    </row>
    <row r="44" spans="3:35" x14ac:dyDescent="0.3">
      <c r="AI44" s="2"/>
    </row>
  </sheetData>
  <mergeCells count="4">
    <mergeCell ref="G1:O1"/>
    <mergeCell ref="Q1:S1"/>
    <mergeCell ref="U1:AC1"/>
    <mergeCell ref="D34:H34"/>
  </mergeCells>
  <phoneticPr fontId="2" type="noConversion"/>
  <printOptions horizontalCentered="1"/>
  <pageMargins left="0" right="0.25" top="0" bottom="0" header="0" footer="0"/>
  <pageSetup scale="70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D0F92-20E7-4744-91DC-39F50686429E}">
  <dimension ref="A1:AI44"/>
  <sheetViews>
    <sheetView zoomScale="47" zoomScaleNormal="100" workbookViewId="0">
      <selection activeCell="D34" sqref="D34:H34"/>
    </sheetView>
  </sheetViews>
  <sheetFormatPr defaultColWidth="9" defaultRowHeight="13" x14ac:dyDescent="0.3"/>
  <cols>
    <col min="1" max="1" width="10" style="1" bestFit="1" customWidth="1"/>
    <col min="2" max="2" width="12.26953125" style="1" bestFit="1" customWidth="1"/>
    <col min="3" max="3" width="8.26953125" style="1" bestFit="1" customWidth="1"/>
    <col min="4" max="4" width="5.81640625" style="1" customWidth="1"/>
    <col min="5" max="5" width="5" style="1" bestFit="1" customWidth="1"/>
    <col min="6" max="6" width="5.7265625" style="1" customWidth="1"/>
    <col min="7" max="8" width="11.26953125" style="1" bestFit="1" customWidth="1"/>
    <col min="9" max="9" width="10.81640625" style="1" customWidth="1"/>
    <col min="10" max="10" width="9" style="1" bestFit="1" customWidth="1"/>
    <col min="11" max="11" width="9.7265625" style="1" bestFit="1" customWidth="1"/>
    <col min="12" max="12" width="10.54296875" style="1" bestFit="1" customWidth="1"/>
    <col min="13" max="13" width="9" style="1" bestFit="1" customWidth="1"/>
    <col min="14" max="14" width="10" style="1" customWidth="1"/>
    <col min="15" max="15" width="10.54296875" style="1" customWidth="1"/>
    <col min="16" max="16" width="5.7265625" style="1" customWidth="1"/>
    <col min="17" max="17" width="10" style="1" bestFit="1" customWidth="1"/>
    <col min="18" max="18" width="11" style="1" bestFit="1" customWidth="1"/>
    <col min="19" max="19" width="11" style="1" customWidth="1"/>
    <col min="20" max="20" width="5.7265625" style="1" customWidth="1"/>
    <col min="21" max="21" width="7.26953125" style="3" customWidth="1"/>
    <col min="22" max="22" width="9" style="3" customWidth="1"/>
    <col min="23" max="23" width="8.7265625" style="1" bestFit="1" customWidth="1"/>
    <col min="24" max="24" width="12.54296875" style="1" bestFit="1" customWidth="1"/>
    <col min="25" max="25" width="8.7265625" style="1" bestFit="1" customWidth="1"/>
    <col min="26" max="26" width="9.7265625" style="1" customWidth="1"/>
    <col min="27" max="27" width="28.26953125" style="1" bestFit="1" customWidth="1"/>
    <col min="28" max="28" width="9.26953125" style="1" customWidth="1"/>
    <col min="29" max="29" width="11.54296875" style="1" customWidth="1"/>
    <col min="30" max="30" width="5.7265625" style="1" customWidth="1"/>
    <col min="31" max="31" width="11.26953125" style="1" bestFit="1" customWidth="1"/>
    <col min="32" max="33" width="13" style="1" bestFit="1" customWidth="1"/>
    <col min="34" max="34" width="9" style="1" bestFit="1" customWidth="1"/>
    <col min="35" max="35" width="9.54296875" style="1" bestFit="1" customWidth="1"/>
    <col min="36" max="36" width="10" style="1" bestFit="1" customWidth="1"/>
    <col min="37" max="37" width="9.54296875" style="1" bestFit="1" customWidth="1"/>
    <col min="38" max="16384" width="9" style="1"/>
  </cols>
  <sheetData>
    <row r="1" spans="1:35" ht="13.5" thickBot="1" x14ac:dyDescent="0.35">
      <c r="G1" s="79" t="s">
        <v>0</v>
      </c>
      <c r="H1" s="79"/>
      <c r="I1" s="79"/>
      <c r="J1" s="79"/>
      <c r="K1" s="79"/>
      <c r="L1" s="79"/>
      <c r="M1" s="79"/>
      <c r="N1" s="79"/>
      <c r="O1" s="79"/>
      <c r="Q1" s="79" t="s">
        <v>1</v>
      </c>
      <c r="R1" s="79"/>
      <c r="S1" s="79"/>
      <c r="U1" s="80" t="s">
        <v>2</v>
      </c>
      <c r="V1" s="80"/>
      <c r="W1" s="80"/>
      <c r="X1" s="80"/>
      <c r="Y1" s="80"/>
      <c r="Z1" s="80"/>
      <c r="AA1" s="80"/>
      <c r="AB1" s="80"/>
      <c r="AC1" s="80"/>
    </row>
    <row r="2" spans="1:35" ht="39" x14ac:dyDescent="0.3">
      <c r="D2" s="18" t="s">
        <v>3</v>
      </c>
      <c r="E2" s="19" t="s">
        <v>4</v>
      </c>
      <c r="F2" s="1" t="s">
        <v>5</v>
      </c>
      <c r="G2" s="18" t="s">
        <v>6</v>
      </c>
      <c r="H2" s="30" t="s">
        <v>7</v>
      </c>
      <c r="I2" s="30" t="s">
        <v>8</v>
      </c>
      <c r="J2" s="30" t="s">
        <v>9</v>
      </c>
      <c r="K2" s="30" t="s">
        <v>10</v>
      </c>
      <c r="L2" s="30" t="s">
        <v>11</v>
      </c>
      <c r="M2" s="30" t="s">
        <v>12</v>
      </c>
      <c r="N2" s="30" t="s">
        <v>13</v>
      </c>
      <c r="O2" s="19" t="s">
        <v>0</v>
      </c>
      <c r="Q2" s="18" t="s">
        <v>14</v>
      </c>
      <c r="R2" s="30" t="s">
        <v>15</v>
      </c>
      <c r="S2" s="19" t="s">
        <v>16</v>
      </c>
      <c r="U2" s="18" t="s">
        <v>17</v>
      </c>
      <c r="V2" s="30" t="s">
        <v>18</v>
      </c>
      <c r="W2" s="30" t="s">
        <v>19</v>
      </c>
      <c r="X2" s="39" t="s">
        <v>20</v>
      </c>
      <c r="Y2" s="30" t="s">
        <v>21</v>
      </c>
      <c r="Z2" s="30" t="s">
        <v>22</v>
      </c>
      <c r="AA2" s="30" t="s">
        <v>23</v>
      </c>
      <c r="AB2" s="30" t="s">
        <v>24</v>
      </c>
      <c r="AC2" s="19" t="s">
        <v>25</v>
      </c>
      <c r="AE2" s="18" t="s">
        <v>26</v>
      </c>
      <c r="AF2" s="30" t="s">
        <v>27</v>
      </c>
      <c r="AG2" s="19" t="s">
        <v>28</v>
      </c>
    </row>
    <row r="3" spans="1:35" x14ac:dyDescent="0.3">
      <c r="C3" s="9"/>
      <c r="D3" s="20"/>
      <c r="E3" s="21"/>
      <c r="F3" s="9"/>
      <c r="G3" s="20"/>
      <c r="H3" s="9"/>
      <c r="I3" s="4"/>
      <c r="J3" s="4"/>
      <c r="K3" s="9"/>
      <c r="L3" s="4"/>
      <c r="M3" s="9"/>
      <c r="N3" s="9"/>
      <c r="O3" s="21"/>
      <c r="Q3" s="20"/>
      <c r="R3" s="9"/>
      <c r="S3" s="21"/>
      <c r="U3" s="20"/>
      <c r="V3" s="9"/>
      <c r="W3" s="9"/>
      <c r="X3" s="11"/>
      <c r="Y3" s="9"/>
      <c r="Z3" s="9"/>
      <c r="AA3" s="9"/>
      <c r="AB3" s="9"/>
      <c r="AC3" s="40"/>
      <c r="AE3" s="20"/>
      <c r="AF3" s="12"/>
      <c r="AG3" s="21"/>
    </row>
    <row r="4" spans="1:35" ht="13.5" thickBot="1" x14ac:dyDescent="0.35">
      <c r="C4" s="13"/>
      <c r="D4" s="22"/>
      <c r="E4" s="23"/>
      <c r="F4" s="13"/>
      <c r="G4" s="22"/>
      <c r="H4" s="14"/>
      <c r="I4" s="14"/>
      <c r="J4" s="14"/>
      <c r="K4" s="14"/>
      <c r="L4" s="14"/>
      <c r="M4" s="14"/>
      <c r="N4" s="14"/>
      <c r="O4" s="51"/>
      <c r="Q4" s="22"/>
      <c r="R4" s="14"/>
      <c r="S4" s="51"/>
      <c r="U4" s="22"/>
      <c r="V4" s="14"/>
      <c r="W4" s="14"/>
      <c r="X4" s="15"/>
      <c r="Y4" s="14"/>
      <c r="Z4" s="14"/>
      <c r="AA4" s="14"/>
      <c r="AB4" s="14"/>
      <c r="AC4" s="41"/>
      <c r="AE4" s="22"/>
      <c r="AF4" s="16"/>
      <c r="AG4" s="23"/>
    </row>
    <row r="5" spans="1:35" x14ac:dyDescent="0.3">
      <c r="A5" s="8"/>
      <c r="B5" s="17"/>
      <c r="D5" s="24"/>
      <c r="E5" s="25">
        <v>2000</v>
      </c>
      <c r="G5" s="31"/>
      <c r="H5" s="5"/>
      <c r="I5" s="5"/>
      <c r="J5" s="5"/>
      <c r="K5" s="5">
        <f t="shared" ref="K5:K22" si="0">I5+J5</f>
        <v>0</v>
      </c>
      <c r="L5" s="5"/>
      <c r="M5" s="5"/>
      <c r="N5" s="5"/>
      <c r="O5" s="32">
        <f t="shared" ref="O5:O22" si="1">G5+K5+N5</f>
        <v>0</v>
      </c>
      <c r="Q5" s="36"/>
      <c r="R5" s="5"/>
      <c r="S5" s="32"/>
      <c r="U5" s="59"/>
      <c r="V5" s="61"/>
      <c r="W5" s="30"/>
      <c r="X5" s="39"/>
      <c r="Y5" s="30"/>
      <c r="Z5" s="30"/>
      <c r="AA5" s="30"/>
      <c r="AB5" s="49"/>
      <c r="AC5" s="50"/>
      <c r="AE5" s="36">
        <f t="shared" ref="AE5:AE32" si="2">SUM(O5,S5,AC5)</f>
        <v>0</v>
      </c>
      <c r="AF5" s="5"/>
      <c r="AG5" s="47">
        <v>0</v>
      </c>
    </row>
    <row r="6" spans="1:35" x14ac:dyDescent="0.3">
      <c r="A6" s="8"/>
      <c r="B6" s="8"/>
      <c r="C6" s="1">
        <v>0</v>
      </c>
      <c r="D6" s="24"/>
      <c r="E6" s="25">
        <v>2001</v>
      </c>
      <c r="G6" s="31">
        <v>-3900000</v>
      </c>
      <c r="H6" s="3"/>
      <c r="I6" s="5"/>
      <c r="J6" s="5"/>
      <c r="K6" s="5">
        <f t="shared" si="0"/>
        <v>0</v>
      </c>
      <c r="L6" s="5"/>
      <c r="M6" s="5"/>
      <c r="N6" s="5"/>
      <c r="O6" s="32">
        <f t="shared" si="1"/>
        <v>-3900000</v>
      </c>
      <c r="Q6" s="36">
        <v>-500000</v>
      </c>
      <c r="R6" s="5"/>
      <c r="S6" s="32">
        <f>Q6+R6</f>
        <v>-500000</v>
      </c>
      <c r="U6" s="60"/>
      <c r="V6" s="62"/>
      <c r="W6" s="4"/>
      <c r="X6" s="10"/>
      <c r="Y6" s="4"/>
      <c r="Z6" s="4"/>
      <c r="AA6" s="4"/>
      <c r="AB6" s="5"/>
      <c r="AC6" s="32"/>
      <c r="AE6" s="36">
        <f t="shared" si="2"/>
        <v>-4400000</v>
      </c>
      <c r="AF6" s="71">
        <f t="shared" ref="AF6:AF32" si="3">AE6/((1+0.09)^AG5)</f>
        <v>-4400000</v>
      </c>
      <c r="AG6" s="47">
        <v>1</v>
      </c>
    </row>
    <row r="7" spans="1:35" x14ac:dyDescent="0.3">
      <c r="A7" s="8"/>
      <c r="B7" s="8"/>
      <c r="D7" s="24"/>
      <c r="E7" s="25">
        <v>2002</v>
      </c>
      <c r="G7" s="31">
        <v>-3900000</v>
      </c>
      <c r="H7" s="5"/>
      <c r="I7" s="5"/>
      <c r="J7" s="5"/>
      <c r="K7" s="5">
        <f t="shared" si="0"/>
        <v>0</v>
      </c>
      <c r="L7" s="5"/>
      <c r="M7" s="2"/>
      <c r="N7" s="2"/>
      <c r="O7" s="32">
        <f t="shared" si="1"/>
        <v>-3900000</v>
      </c>
      <c r="Q7" s="31"/>
      <c r="R7" s="69">
        <v>15000</v>
      </c>
      <c r="S7" s="32">
        <f t="shared" ref="S7:S32" si="4">-(Q7+R7)</f>
        <v>-15000</v>
      </c>
      <c r="U7" s="60"/>
      <c r="V7" s="62"/>
      <c r="W7" s="4"/>
      <c r="X7" s="4"/>
      <c r="Y7" s="4"/>
      <c r="Z7" s="4"/>
      <c r="AA7" s="4"/>
      <c r="AB7" s="5"/>
      <c r="AC7" s="32"/>
      <c r="AE7" s="36">
        <f t="shared" si="2"/>
        <v>-3915000</v>
      </c>
      <c r="AF7" s="71">
        <f t="shared" si="3"/>
        <v>-3591743.1192660546</v>
      </c>
      <c r="AG7" s="47">
        <v>2</v>
      </c>
    </row>
    <row r="8" spans="1:35" x14ac:dyDescent="0.3">
      <c r="A8" s="8"/>
      <c r="B8" s="8"/>
      <c r="D8" s="26">
        <v>1</v>
      </c>
      <c r="E8" s="27">
        <v>2003</v>
      </c>
      <c r="G8" s="33">
        <f>-39000000-G7-G6</f>
        <v>-31200000</v>
      </c>
      <c r="H8" s="5"/>
      <c r="I8" s="2">
        <f t="shared" ref="I8:I22" si="5">-(SUM($G$6:$G$8)+$M$22)/15</f>
        <v>2266666.6666666665</v>
      </c>
      <c r="J8" s="2"/>
      <c r="K8" s="5">
        <f t="shared" si="0"/>
        <v>2266666.6666666665</v>
      </c>
      <c r="L8" s="5">
        <f t="shared" ref="L8:L22" si="6">-((SUM($G$6:$G$8)+(I8*D8)))</f>
        <v>36733333.333333336</v>
      </c>
      <c r="M8" s="2"/>
      <c r="N8" s="2"/>
      <c r="O8" s="32">
        <f t="shared" si="1"/>
        <v>-28933333.333333332</v>
      </c>
      <c r="Q8" s="37"/>
      <c r="R8" s="69">
        <f t="shared" ref="R8:R32" si="7">R7*1.03</f>
        <v>15450</v>
      </c>
      <c r="S8" s="32">
        <f t="shared" si="4"/>
        <v>-15450</v>
      </c>
      <c r="U8" s="33">
        <v>20000</v>
      </c>
      <c r="V8" s="63">
        <v>1.1499999999999999</v>
      </c>
      <c r="W8" s="42">
        <v>357</v>
      </c>
      <c r="X8" s="43">
        <v>4000</v>
      </c>
      <c r="Y8" s="42">
        <v>8</v>
      </c>
      <c r="Z8" s="2">
        <f t="shared" ref="Z8:Z32" si="8">U8*W8</f>
        <v>7140000</v>
      </c>
      <c r="AA8" s="2">
        <f>365*X8</f>
        <v>1460000</v>
      </c>
      <c r="AB8" s="2">
        <f t="shared" ref="AB8:AB32" si="9">(Z8-AA8)*(1-0.35)</f>
        <v>3692000</v>
      </c>
      <c r="AC8" s="44">
        <f t="shared" ref="AC8:AC32" si="10">Z8-AA8-AB8</f>
        <v>1988000</v>
      </c>
      <c r="AE8" s="36">
        <f t="shared" si="2"/>
        <v>-26960783.333333332</v>
      </c>
      <c r="AF8" s="71">
        <f t="shared" si="3"/>
        <v>-22692351.93446118</v>
      </c>
      <c r="AG8" s="47">
        <v>3</v>
      </c>
    </row>
    <row r="9" spans="1:35" x14ac:dyDescent="0.3">
      <c r="A9" s="8"/>
      <c r="B9" s="8"/>
      <c r="D9" s="26">
        <v>2</v>
      </c>
      <c r="E9" s="27">
        <v>2004</v>
      </c>
      <c r="G9" s="33"/>
      <c r="H9" s="5"/>
      <c r="I9" s="2">
        <f t="shared" si="5"/>
        <v>2266666.6666666665</v>
      </c>
      <c r="J9" s="2"/>
      <c r="K9" s="5">
        <f t="shared" si="0"/>
        <v>2266666.6666666665</v>
      </c>
      <c r="L9" s="5">
        <f t="shared" si="6"/>
        <v>34466666.666666664</v>
      </c>
      <c r="M9" s="2"/>
      <c r="N9" s="2"/>
      <c r="O9" s="32">
        <f t="shared" si="1"/>
        <v>2266666.6666666665</v>
      </c>
      <c r="Q9" s="37"/>
      <c r="R9" s="69">
        <f t="shared" si="7"/>
        <v>15913.5</v>
      </c>
      <c r="S9" s="32">
        <f t="shared" si="4"/>
        <v>-15913.5</v>
      </c>
      <c r="U9" s="33">
        <v>20200</v>
      </c>
      <c r="V9" s="63">
        <v>1.1499999999999999</v>
      </c>
      <c r="W9" s="42">
        <v>357</v>
      </c>
      <c r="X9" s="43">
        <f t="shared" ref="X9:X32" si="11">X8*1.04</f>
        <v>4160</v>
      </c>
      <c r="Y9" s="42">
        <v>8</v>
      </c>
      <c r="Z9" s="2">
        <f t="shared" si="8"/>
        <v>7211400</v>
      </c>
      <c r="AA9" s="2">
        <f t="shared" ref="AA9:AA32" si="12">AA8*1.04</f>
        <v>1518400</v>
      </c>
      <c r="AB9" s="2">
        <f t="shared" si="9"/>
        <v>3700450</v>
      </c>
      <c r="AC9" s="44">
        <f t="shared" si="10"/>
        <v>1992550</v>
      </c>
      <c r="AE9" s="36">
        <f t="shared" si="2"/>
        <v>4243303.166666666</v>
      </c>
      <c r="AF9" s="71">
        <f t="shared" si="3"/>
        <v>3276608.6061907997</v>
      </c>
      <c r="AG9" s="47">
        <v>4</v>
      </c>
    </row>
    <row r="10" spans="1:35" s="4" customFormat="1" x14ac:dyDescent="0.3">
      <c r="C10" s="1"/>
      <c r="D10" s="26">
        <v>3</v>
      </c>
      <c r="E10" s="27">
        <v>2005</v>
      </c>
      <c r="F10" s="1"/>
      <c r="G10" s="33"/>
      <c r="H10" s="5"/>
      <c r="I10" s="2">
        <f t="shared" si="5"/>
        <v>2266666.6666666665</v>
      </c>
      <c r="J10" s="2"/>
      <c r="K10" s="5">
        <f t="shared" si="0"/>
        <v>2266666.6666666665</v>
      </c>
      <c r="L10" s="5">
        <f t="shared" si="6"/>
        <v>32200000</v>
      </c>
      <c r="M10" s="2"/>
      <c r="N10" s="2"/>
      <c r="O10" s="32">
        <f t="shared" si="1"/>
        <v>2266666.6666666665</v>
      </c>
      <c r="P10" s="1"/>
      <c r="Q10" s="37"/>
      <c r="R10" s="69">
        <f t="shared" si="7"/>
        <v>16390.904999999999</v>
      </c>
      <c r="S10" s="32">
        <f t="shared" si="4"/>
        <v>-16390.904999999999</v>
      </c>
      <c r="T10" s="1"/>
      <c r="U10" s="33">
        <v>20400</v>
      </c>
      <c r="V10" s="63">
        <v>1.1499999999999999</v>
      </c>
      <c r="W10" s="42">
        <v>357</v>
      </c>
      <c r="X10" s="43">
        <f t="shared" si="11"/>
        <v>4326.4000000000005</v>
      </c>
      <c r="Y10" s="42">
        <v>8</v>
      </c>
      <c r="Z10" s="2">
        <f t="shared" si="8"/>
        <v>7282800</v>
      </c>
      <c r="AA10" s="2">
        <f t="shared" si="12"/>
        <v>1579136</v>
      </c>
      <c r="AB10" s="2">
        <f t="shared" si="9"/>
        <v>3707381.6</v>
      </c>
      <c r="AC10" s="44">
        <f t="shared" si="10"/>
        <v>1996282.4</v>
      </c>
      <c r="AD10" s="1"/>
      <c r="AE10" s="36">
        <f t="shared" si="2"/>
        <v>4246558.1616666671</v>
      </c>
      <c r="AF10" s="71">
        <f t="shared" si="3"/>
        <v>3008368.8619793411</v>
      </c>
      <c r="AG10" s="47">
        <v>5</v>
      </c>
    </row>
    <row r="11" spans="1:35" s="4" customFormat="1" x14ac:dyDescent="0.3">
      <c r="A11" s="8"/>
      <c r="B11" s="8"/>
      <c r="C11" s="1"/>
      <c r="D11" s="26">
        <v>4</v>
      </c>
      <c r="E11" s="27">
        <v>2006</v>
      </c>
      <c r="F11" s="1"/>
      <c r="G11" s="33"/>
      <c r="H11" s="5"/>
      <c r="I11" s="2">
        <f t="shared" si="5"/>
        <v>2266666.6666666665</v>
      </c>
      <c r="J11" s="2"/>
      <c r="K11" s="5">
        <f t="shared" si="0"/>
        <v>2266666.6666666665</v>
      </c>
      <c r="L11" s="5">
        <f t="shared" si="6"/>
        <v>29933333.333333336</v>
      </c>
      <c r="M11" s="2"/>
      <c r="N11" s="2"/>
      <c r="O11" s="32">
        <f t="shared" si="1"/>
        <v>2266666.6666666665</v>
      </c>
      <c r="P11" s="1"/>
      <c r="Q11" s="37"/>
      <c r="R11" s="69">
        <f t="shared" si="7"/>
        <v>16882.632149999998</v>
      </c>
      <c r="S11" s="32">
        <f t="shared" si="4"/>
        <v>-16882.632149999998</v>
      </c>
      <c r="T11" s="1"/>
      <c r="U11" s="33">
        <v>18714</v>
      </c>
      <c r="V11" s="63">
        <v>1.1499999999999999</v>
      </c>
      <c r="W11" s="42">
        <v>357</v>
      </c>
      <c r="X11" s="43">
        <f t="shared" si="11"/>
        <v>4499.456000000001</v>
      </c>
      <c r="Y11" s="42">
        <v>8</v>
      </c>
      <c r="Z11" s="2">
        <f t="shared" si="8"/>
        <v>6680898</v>
      </c>
      <c r="AA11" s="2">
        <f t="shared" si="12"/>
        <v>1642301.4399999999</v>
      </c>
      <c r="AB11" s="2">
        <f t="shared" si="9"/>
        <v>3275087.7640000004</v>
      </c>
      <c r="AC11" s="44">
        <f t="shared" si="10"/>
        <v>1763508.7960000001</v>
      </c>
      <c r="AD11" s="1"/>
      <c r="AE11" s="36">
        <f t="shared" si="2"/>
        <v>4013292.8305166666</v>
      </c>
      <c r="AF11" s="71">
        <f t="shared" si="3"/>
        <v>2608364.972958907</v>
      </c>
      <c r="AG11" s="47">
        <v>6</v>
      </c>
      <c r="AH11" s="9"/>
      <c r="AI11" s="9"/>
    </row>
    <row r="12" spans="1:35" s="13" customFormat="1" x14ac:dyDescent="0.3">
      <c r="A12" s="8"/>
      <c r="B12" s="8"/>
      <c r="C12" s="1"/>
      <c r="D12" s="26">
        <v>5</v>
      </c>
      <c r="E12" s="27">
        <v>2007</v>
      </c>
      <c r="F12" s="1" t="s">
        <v>29</v>
      </c>
      <c r="G12" s="33">
        <v>-300000</v>
      </c>
      <c r="H12" s="5"/>
      <c r="I12" s="2">
        <f t="shared" si="5"/>
        <v>2266666.6666666665</v>
      </c>
      <c r="J12" s="2">
        <f>$G$12/5</f>
        <v>-60000</v>
      </c>
      <c r="K12" s="5">
        <f t="shared" si="0"/>
        <v>2206666.6666666665</v>
      </c>
      <c r="L12" s="5">
        <f t="shared" si="6"/>
        <v>27666666.666666668</v>
      </c>
      <c r="M12" s="2"/>
      <c r="N12" s="2"/>
      <c r="O12" s="32">
        <f t="shared" si="1"/>
        <v>1906666.6666666665</v>
      </c>
      <c r="P12" s="1"/>
      <c r="Q12" s="37"/>
      <c r="R12" s="69">
        <f t="shared" si="7"/>
        <v>17389.1111145</v>
      </c>
      <c r="S12" s="32">
        <f t="shared" si="4"/>
        <v>-17389.1111145</v>
      </c>
      <c r="T12" s="1"/>
      <c r="U12" s="33">
        <v>17283</v>
      </c>
      <c r="V12" s="63">
        <v>1.05</v>
      </c>
      <c r="W12" s="42">
        <v>357</v>
      </c>
      <c r="X12" s="43">
        <f t="shared" si="11"/>
        <v>4679.4342400000014</v>
      </c>
      <c r="Y12" s="42">
        <v>8</v>
      </c>
      <c r="Z12" s="2">
        <f t="shared" si="8"/>
        <v>6170031</v>
      </c>
      <c r="AA12" s="2">
        <f t="shared" si="12"/>
        <v>1707993.4975999999</v>
      </c>
      <c r="AB12" s="2">
        <f t="shared" si="9"/>
        <v>2900324.3765599998</v>
      </c>
      <c r="AC12" s="44">
        <f t="shared" si="10"/>
        <v>1561713.1258399999</v>
      </c>
      <c r="AD12" s="1"/>
      <c r="AE12" s="36">
        <f t="shared" si="2"/>
        <v>3450990.6813921663</v>
      </c>
      <c r="AF12" s="71">
        <f t="shared" si="3"/>
        <v>2057712.9886787906</v>
      </c>
      <c r="AG12" s="47">
        <v>7</v>
      </c>
    </row>
    <row r="13" spans="1:35" s="4" customFormat="1" x14ac:dyDescent="0.3">
      <c r="C13" s="1"/>
      <c r="D13" s="26">
        <v>6</v>
      </c>
      <c r="E13" s="27">
        <v>2008</v>
      </c>
      <c r="F13" s="1"/>
      <c r="G13" s="33"/>
      <c r="H13" s="5"/>
      <c r="I13" s="2">
        <f t="shared" si="5"/>
        <v>2266666.6666666665</v>
      </c>
      <c r="J13" s="2">
        <f>$G$12/5</f>
        <v>-60000</v>
      </c>
      <c r="K13" s="5">
        <f t="shared" si="0"/>
        <v>2206666.6666666665</v>
      </c>
      <c r="L13" s="5">
        <f t="shared" si="6"/>
        <v>25400000</v>
      </c>
      <c r="M13" s="2"/>
      <c r="N13" s="2"/>
      <c r="O13" s="32">
        <f t="shared" si="1"/>
        <v>2206666.6666666665</v>
      </c>
      <c r="P13" s="1"/>
      <c r="Q13" s="37"/>
      <c r="R13" s="69">
        <f t="shared" si="7"/>
        <v>17910.784447934999</v>
      </c>
      <c r="S13" s="32">
        <f t="shared" si="4"/>
        <v>-17910.784447934999</v>
      </c>
      <c r="T13" s="1"/>
      <c r="U13" s="33">
        <v>17481</v>
      </c>
      <c r="V13" s="64">
        <v>1.05</v>
      </c>
      <c r="W13" s="42">
        <v>353</v>
      </c>
      <c r="X13" s="43">
        <f t="shared" si="11"/>
        <v>4866.6116096000014</v>
      </c>
      <c r="Y13" s="42">
        <v>12</v>
      </c>
      <c r="Z13" s="2">
        <f t="shared" si="8"/>
        <v>6170793</v>
      </c>
      <c r="AA13" s="2">
        <f t="shared" si="12"/>
        <v>1776313.2375039998</v>
      </c>
      <c r="AB13" s="2">
        <f t="shared" si="9"/>
        <v>2856411.8456224003</v>
      </c>
      <c r="AC13" s="44">
        <f t="shared" si="10"/>
        <v>1538067.9168735999</v>
      </c>
      <c r="AD13" s="1"/>
      <c r="AE13" s="36">
        <f t="shared" si="2"/>
        <v>3726823.7990923314</v>
      </c>
      <c r="AF13" s="71">
        <f t="shared" si="3"/>
        <v>2038700.2426005763</v>
      </c>
      <c r="AG13" s="47">
        <v>8</v>
      </c>
      <c r="AH13" s="5"/>
      <c r="AI13" s="5"/>
    </row>
    <row r="14" spans="1:35" s="4" customFormat="1" x14ac:dyDescent="0.3">
      <c r="C14" s="1"/>
      <c r="D14" s="26">
        <v>7</v>
      </c>
      <c r="E14" s="27">
        <v>2009</v>
      </c>
      <c r="F14" s="1"/>
      <c r="G14" s="33"/>
      <c r="H14" s="5"/>
      <c r="I14" s="2">
        <f t="shared" si="5"/>
        <v>2266666.6666666665</v>
      </c>
      <c r="J14" s="2">
        <f>$G$12/5</f>
        <v>-60000</v>
      </c>
      <c r="K14" s="5">
        <f t="shared" si="0"/>
        <v>2206666.6666666665</v>
      </c>
      <c r="L14" s="5">
        <f t="shared" si="6"/>
        <v>23133333.333333336</v>
      </c>
      <c r="M14" s="2"/>
      <c r="N14" s="2"/>
      <c r="O14" s="32">
        <f t="shared" si="1"/>
        <v>2206666.6666666665</v>
      </c>
      <c r="P14" s="1"/>
      <c r="Q14" s="37"/>
      <c r="R14" s="69">
        <f t="shared" si="7"/>
        <v>18448.10798137305</v>
      </c>
      <c r="S14" s="32">
        <f t="shared" si="4"/>
        <v>-18448.10798137305</v>
      </c>
      <c r="T14" s="1"/>
      <c r="U14" s="33">
        <v>17682</v>
      </c>
      <c r="V14" s="64">
        <v>1.05</v>
      </c>
      <c r="W14" s="42">
        <v>353</v>
      </c>
      <c r="X14" s="43">
        <f t="shared" si="11"/>
        <v>5061.2760739840014</v>
      </c>
      <c r="Y14" s="42">
        <v>12</v>
      </c>
      <c r="Z14" s="2">
        <f t="shared" si="8"/>
        <v>6241746</v>
      </c>
      <c r="AA14" s="2">
        <f t="shared" si="12"/>
        <v>1847365.76700416</v>
      </c>
      <c r="AB14" s="2">
        <f t="shared" si="9"/>
        <v>2856347.1514472961</v>
      </c>
      <c r="AC14" s="44">
        <f t="shared" si="10"/>
        <v>1538033.0815485436</v>
      </c>
      <c r="AD14" s="1"/>
      <c r="AE14" s="36">
        <f t="shared" si="2"/>
        <v>3726251.6402338371</v>
      </c>
      <c r="AF14" s="71">
        <f t="shared" si="3"/>
        <v>1870080.0478087058</v>
      </c>
      <c r="AG14" s="47">
        <v>9</v>
      </c>
      <c r="AH14" s="5"/>
      <c r="AI14" s="5"/>
    </row>
    <row r="15" spans="1:35" s="4" customFormat="1" x14ac:dyDescent="0.3">
      <c r="C15" s="1"/>
      <c r="D15" s="26">
        <v>8</v>
      </c>
      <c r="E15" s="27">
        <v>2010</v>
      </c>
      <c r="F15" s="1"/>
      <c r="G15" s="33"/>
      <c r="H15" s="5"/>
      <c r="I15" s="2">
        <f t="shared" si="5"/>
        <v>2266666.6666666665</v>
      </c>
      <c r="J15" s="2">
        <f>$G$12/5</f>
        <v>-60000</v>
      </c>
      <c r="K15" s="5">
        <f t="shared" si="0"/>
        <v>2206666.6666666665</v>
      </c>
      <c r="L15" s="5">
        <f t="shared" si="6"/>
        <v>20866666.666666668</v>
      </c>
      <c r="M15" s="2"/>
      <c r="N15" s="2"/>
      <c r="O15" s="32">
        <f t="shared" si="1"/>
        <v>2206666.6666666665</v>
      </c>
      <c r="P15" s="1"/>
      <c r="Q15" s="37"/>
      <c r="R15" s="69">
        <f t="shared" si="7"/>
        <v>19001.551220814243</v>
      </c>
      <c r="S15" s="32">
        <f t="shared" si="4"/>
        <v>-19001.551220814243</v>
      </c>
      <c r="T15" s="1"/>
      <c r="U15" s="33">
        <v>17886</v>
      </c>
      <c r="V15" s="64">
        <v>1.05</v>
      </c>
      <c r="W15" s="42">
        <v>353</v>
      </c>
      <c r="X15" s="43">
        <f t="shared" si="11"/>
        <v>5263.7271169433616</v>
      </c>
      <c r="Y15" s="42">
        <v>12</v>
      </c>
      <c r="Z15" s="2">
        <f t="shared" si="8"/>
        <v>6313758</v>
      </c>
      <c r="AA15" s="2">
        <f t="shared" si="12"/>
        <v>1921260.3976843264</v>
      </c>
      <c r="AB15" s="2">
        <f t="shared" si="9"/>
        <v>2855123.4415051881</v>
      </c>
      <c r="AC15" s="44">
        <f t="shared" si="10"/>
        <v>1537374.1608104855</v>
      </c>
      <c r="AD15" s="1"/>
      <c r="AE15" s="36">
        <f t="shared" si="2"/>
        <v>3725039.2762563378</v>
      </c>
      <c r="AF15" s="71">
        <f t="shared" si="3"/>
        <v>1715111.5625777144</v>
      </c>
      <c r="AG15" s="47">
        <v>10</v>
      </c>
      <c r="AH15" s="5"/>
      <c r="AI15" s="2"/>
    </row>
    <row r="16" spans="1:35" x14ac:dyDescent="0.3">
      <c r="D16" s="26">
        <v>9</v>
      </c>
      <c r="E16" s="27">
        <v>2011</v>
      </c>
      <c r="G16" s="33"/>
      <c r="H16" s="5"/>
      <c r="I16" s="2">
        <f t="shared" si="5"/>
        <v>2266666.6666666665</v>
      </c>
      <c r="J16" s="2">
        <f>$G$12/5</f>
        <v>-60000</v>
      </c>
      <c r="K16" s="5">
        <f t="shared" si="0"/>
        <v>2206666.6666666665</v>
      </c>
      <c r="L16" s="5">
        <f t="shared" si="6"/>
        <v>18600000</v>
      </c>
      <c r="M16" s="2"/>
      <c r="N16" s="2"/>
      <c r="O16" s="32">
        <f t="shared" si="1"/>
        <v>2206666.6666666665</v>
      </c>
      <c r="Q16" s="37"/>
      <c r="R16" s="69">
        <f t="shared" si="7"/>
        <v>19571.597757438671</v>
      </c>
      <c r="S16" s="32">
        <f t="shared" si="4"/>
        <v>-19571.597757438671</v>
      </c>
      <c r="U16" s="33">
        <v>18092</v>
      </c>
      <c r="V16" s="64">
        <v>1.05</v>
      </c>
      <c r="W16" s="42">
        <v>353</v>
      </c>
      <c r="X16" s="43">
        <f t="shared" si="11"/>
        <v>5474.2762016210963</v>
      </c>
      <c r="Y16" s="42">
        <v>12</v>
      </c>
      <c r="Z16" s="2">
        <f t="shared" si="8"/>
        <v>6386476</v>
      </c>
      <c r="AA16" s="2">
        <f t="shared" si="12"/>
        <v>1998110.8135916996</v>
      </c>
      <c r="AB16" s="2">
        <f t="shared" si="9"/>
        <v>2852437.3711653952</v>
      </c>
      <c r="AC16" s="44">
        <f t="shared" si="10"/>
        <v>1535927.8152429047</v>
      </c>
      <c r="AE16" s="36">
        <f t="shared" si="2"/>
        <v>3723022.8841521326</v>
      </c>
      <c r="AF16" s="71">
        <f t="shared" si="3"/>
        <v>1572645.1005858174</v>
      </c>
      <c r="AG16" s="47">
        <v>11</v>
      </c>
      <c r="AH16" s="2"/>
      <c r="AI16" s="2"/>
    </row>
    <row r="17" spans="4:35" x14ac:dyDescent="0.3">
      <c r="D17" s="26">
        <v>10</v>
      </c>
      <c r="E17" s="27">
        <v>2012</v>
      </c>
      <c r="F17" s="1" t="s">
        <v>29</v>
      </c>
      <c r="G17" s="33">
        <v>-350000</v>
      </c>
      <c r="H17" s="5"/>
      <c r="I17" s="2">
        <f t="shared" si="5"/>
        <v>2266666.6666666665</v>
      </c>
      <c r="J17" s="2">
        <f>$G$17/5</f>
        <v>-70000</v>
      </c>
      <c r="K17" s="5">
        <f t="shared" si="0"/>
        <v>2196666.6666666665</v>
      </c>
      <c r="L17" s="5">
        <f t="shared" si="6"/>
        <v>16333333.333333336</v>
      </c>
      <c r="M17" s="2"/>
      <c r="N17" s="2"/>
      <c r="O17" s="32">
        <f t="shared" si="1"/>
        <v>1846666.6666666665</v>
      </c>
      <c r="Q17" s="37"/>
      <c r="R17" s="69">
        <f t="shared" si="7"/>
        <v>20158.745690161832</v>
      </c>
      <c r="S17" s="32">
        <f t="shared" si="4"/>
        <v>-20158.745690161832</v>
      </c>
      <c r="U17" s="33">
        <v>17428</v>
      </c>
      <c r="V17" s="64">
        <v>1</v>
      </c>
      <c r="W17" s="42">
        <v>353</v>
      </c>
      <c r="X17" s="43">
        <f t="shared" si="11"/>
        <v>5693.24724968594</v>
      </c>
      <c r="Y17" s="42">
        <v>12</v>
      </c>
      <c r="Z17" s="2">
        <f t="shared" si="8"/>
        <v>6152084</v>
      </c>
      <c r="AA17" s="2">
        <f t="shared" si="12"/>
        <v>2078035.2461353675</v>
      </c>
      <c r="AB17" s="2">
        <f t="shared" si="9"/>
        <v>2648131.6900120112</v>
      </c>
      <c r="AC17" s="44">
        <f t="shared" si="10"/>
        <v>1425917.0638526212</v>
      </c>
      <c r="AE17" s="36">
        <f t="shared" si="2"/>
        <v>3252424.9848291259</v>
      </c>
      <c r="AF17" s="71">
        <f t="shared" si="3"/>
        <v>1260421.5249627247</v>
      </c>
      <c r="AG17" s="47">
        <v>12</v>
      </c>
      <c r="AH17" s="2"/>
      <c r="AI17" s="2"/>
    </row>
    <row r="18" spans="4:35" x14ac:dyDescent="0.3">
      <c r="D18" s="26">
        <v>11</v>
      </c>
      <c r="E18" s="27">
        <v>2013</v>
      </c>
      <c r="G18" s="33"/>
      <c r="H18" s="5"/>
      <c r="I18" s="2">
        <f t="shared" si="5"/>
        <v>2266666.6666666665</v>
      </c>
      <c r="J18" s="2">
        <f>$G$17/5</f>
        <v>-70000</v>
      </c>
      <c r="K18" s="5">
        <f t="shared" si="0"/>
        <v>2196666.6666666665</v>
      </c>
      <c r="L18" s="5">
        <f t="shared" si="6"/>
        <v>14066666.666666668</v>
      </c>
      <c r="M18" s="2"/>
      <c r="N18" s="2"/>
      <c r="O18" s="32">
        <f t="shared" si="1"/>
        <v>2196666.6666666665</v>
      </c>
      <c r="Q18" s="37"/>
      <c r="R18" s="69">
        <f t="shared" si="7"/>
        <v>20763.508060866687</v>
      </c>
      <c r="S18" s="32">
        <f t="shared" si="4"/>
        <v>-20763.508060866687</v>
      </c>
      <c r="U18" s="33">
        <v>17628</v>
      </c>
      <c r="V18" s="64">
        <v>1</v>
      </c>
      <c r="W18" s="42">
        <v>349</v>
      </c>
      <c r="X18" s="43">
        <f t="shared" si="11"/>
        <v>5920.9771396733777</v>
      </c>
      <c r="Y18" s="42">
        <v>16</v>
      </c>
      <c r="Z18" s="2">
        <f t="shared" si="8"/>
        <v>6152172</v>
      </c>
      <c r="AA18" s="2">
        <f t="shared" si="12"/>
        <v>2161156.6559807821</v>
      </c>
      <c r="AB18" s="2">
        <f t="shared" si="9"/>
        <v>2594159.9736124915</v>
      </c>
      <c r="AC18" s="44">
        <f t="shared" si="10"/>
        <v>1396855.3704067264</v>
      </c>
      <c r="AE18" s="36">
        <f t="shared" si="2"/>
        <v>3572758.5290125264</v>
      </c>
      <c r="AF18" s="71">
        <f t="shared" si="3"/>
        <v>1270239.7214743169</v>
      </c>
      <c r="AG18" s="47">
        <v>13</v>
      </c>
      <c r="AH18" s="2"/>
      <c r="AI18" s="2"/>
    </row>
    <row r="19" spans="4:35" x14ac:dyDescent="0.3">
      <c r="D19" s="26">
        <v>12</v>
      </c>
      <c r="E19" s="27">
        <v>2014</v>
      </c>
      <c r="G19" s="33"/>
      <c r="H19" s="5"/>
      <c r="I19" s="2">
        <f t="shared" si="5"/>
        <v>2266666.6666666665</v>
      </c>
      <c r="J19" s="2">
        <f>$G$17/5</f>
        <v>-70000</v>
      </c>
      <c r="K19" s="5">
        <f t="shared" si="0"/>
        <v>2196666.6666666665</v>
      </c>
      <c r="L19" s="5">
        <f t="shared" si="6"/>
        <v>11800000</v>
      </c>
      <c r="M19" s="2"/>
      <c r="N19" s="2"/>
      <c r="O19" s="32">
        <f t="shared" si="1"/>
        <v>2196666.6666666665</v>
      </c>
      <c r="Q19" s="37"/>
      <c r="R19" s="69">
        <f t="shared" si="7"/>
        <v>21386.413302692687</v>
      </c>
      <c r="S19" s="32">
        <f t="shared" si="4"/>
        <v>-21386.413302692687</v>
      </c>
      <c r="U19" s="33">
        <v>17831</v>
      </c>
      <c r="V19" s="64">
        <v>1</v>
      </c>
      <c r="W19" s="42">
        <v>349</v>
      </c>
      <c r="X19" s="43">
        <f t="shared" si="11"/>
        <v>6157.8162252603133</v>
      </c>
      <c r="Y19" s="42">
        <v>16</v>
      </c>
      <c r="Z19" s="2">
        <f t="shared" si="8"/>
        <v>6223019</v>
      </c>
      <c r="AA19" s="2">
        <f t="shared" si="12"/>
        <v>2247602.9222200136</v>
      </c>
      <c r="AB19" s="2">
        <f t="shared" si="9"/>
        <v>2584020.4505569912</v>
      </c>
      <c r="AC19" s="44">
        <f t="shared" si="10"/>
        <v>1391395.6272229953</v>
      </c>
      <c r="AE19" s="36">
        <f t="shared" si="2"/>
        <v>3566675.8805869692</v>
      </c>
      <c r="AF19" s="71">
        <f t="shared" si="3"/>
        <v>1163373.5126040678</v>
      </c>
      <c r="AG19" s="47">
        <v>14</v>
      </c>
      <c r="AH19" s="2"/>
      <c r="AI19" s="2"/>
    </row>
    <row r="20" spans="4:35" x14ac:dyDescent="0.3">
      <c r="D20" s="26">
        <v>13</v>
      </c>
      <c r="E20" s="27">
        <v>2015</v>
      </c>
      <c r="G20" s="33"/>
      <c r="H20" s="5"/>
      <c r="I20" s="2">
        <f t="shared" si="5"/>
        <v>2266666.6666666665</v>
      </c>
      <c r="J20" s="2">
        <f>$G$17/5</f>
        <v>-70000</v>
      </c>
      <c r="K20" s="5">
        <f t="shared" si="0"/>
        <v>2196666.6666666665</v>
      </c>
      <c r="L20" s="5">
        <f t="shared" si="6"/>
        <v>9533333.3333333358</v>
      </c>
      <c r="M20" s="2"/>
      <c r="N20" s="2"/>
      <c r="O20" s="32">
        <f t="shared" si="1"/>
        <v>2196666.6666666665</v>
      </c>
      <c r="Q20" s="37"/>
      <c r="R20" s="69">
        <f t="shared" si="7"/>
        <v>22028.005701773469</v>
      </c>
      <c r="S20" s="32">
        <f t="shared" si="4"/>
        <v>-22028.005701773469</v>
      </c>
      <c r="U20" s="33">
        <v>18036</v>
      </c>
      <c r="V20" s="64">
        <v>1</v>
      </c>
      <c r="W20" s="42">
        <v>349</v>
      </c>
      <c r="X20" s="43">
        <f t="shared" si="11"/>
        <v>6404.1288742707256</v>
      </c>
      <c r="Y20" s="42">
        <v>16</v>
      </c>
      <c r="Z20" s="2">
        <f t="shared" si="8"/>
        <v>6294564</v>
      </c>
      <c r="AA20" s="2">
        <f t="shared" si="12"/>
        <v>2337507.0391088142</v>
      </c>
      <c r="AB20" s="2">
        <f t="shared" si="9"/>
        <v>2572087.0245792707</v>
      </c>
      <c r="AC20" s="44">
        <f t="shared" si="10"/>
        <v>1384969.9363119151</v>
      </c>
      <c r="AE20" s="36">
        <f t="shared" si="2"/>
        <v>3559608.5972768082</v>
      </c>
      <c r="AF20" s="71">
        <f t="shared" si="3"/>
        <v>1065200.2896301034</v>
      </c>
      <c r="AG20" s="47">
        <v>15</v>
      </c>
      <c r="AH20" s="2"/>
      <c r="AI20" s="2"/>
    </row>
    <row r="21" spans="4:35" x14ac:dyDescent="0.3">
      <c r="D21" s="26">
        <v>14</v>
      </c>
      <c r="E21" s="27">
        <v>2016</v>
      </c>
      <c r="G21" s="33"/>
      <c r="H21" s="5"/>
      <c r="I21" s="2">
        <f t="shared" si="5"/>
        <v>2266666.6666666665</v>
      </c>
      <c r="J21" s="2">
        <f>$G$17/5</f>
        <v>-70000</v>
      </c>
      <c r="K21" s="5">
        <f t="shared" si="0"/>
        <v>2196666.6666666665</v>
      </c>
      <c r="L21" s="5">
        <f t="shared" si="6"/>
        <v>7266666.6666666679</v>
      </c>
      <c r="M21" s="2"/>
      <c r="N21" s="2"/>
      <c r="O21" s="32">
        <f t="shared" si="1"/>
        <v>2196666.6666666665</v>
      </c>
      <c r="Q21" s="37"/>
      <c r="R21" s="69">
        <f t="shared" si="7"/>
        <v>22688.845872826674</v>
      </c>
      <c r="S21" s="32">
        <f t="shared" si="4"/>
        <v>-22688.845872826674</v>
      </c>
      <c r="U21" s="33">
        <v>18243</v>
      </c>
      <c r="V21" s="64">
        <v>1</v>
      </c>
      <c r="W21" s="42">
        <v>349</v>
      </c>
      <c r="X21" s="43">
        <f t="shared" si="11"/>
        <v>6660.2940292415551</v>
      </c>
      <c r="Y21" s="42">
        <v>16</v>
      </c>
      <c r="Z21" s="2">
        <f t="shared" si="8"/>
        <v>6366807</v>
      </c>
      <c r="AA21" s="2">
        <f t="shared" si="12"/>
        <v>2431007.3206731668</v>
      </c>
      <c r="AB21" s="2">
        <f t="shared" si="9"/>
        <v>2558269.7915624417</v>
      </c>
      <c r="AC21" s="44">
        <f t="shared" si="10"/>
        <v>1377529.8877643915</v>
      </c>
      <c r="AE21" s="36">
        <f t="shared" si="2"/>
        <v>3551507.7085582311</v>
      </c>
      <c r="AF21" s="71">
        <f t="shared" si="3"/>
        <v>975023.97001601593</v>
      </c>
      <c r="AG21" s="47">
        <v>16</v>
      </c>
      <c r="AH21" s="2"/>
      <c r="AI21" s="2"/>
    </row>
    <row r="22" spans="4:35" x14ac:dyDescent="0.3">
      <c r="D22" s="52">
        <v>15</v>
      </c>
      <c r="E22" s="53">
        <v>2017</v>
      </c>
      <c r="F22" s="54" t="s">
        <v>29</v>
      </c>
      <c r="G22" s="55">
        <v>-750000</v>
      </c>
      <c r="H22" s="56"/>
      <c r="I22" s="57">
        <f t="shared" si="5"/>
        <v>2266666.6666666665</v>
      </c>
      <c r="J22" s="57">
        <f>$G$22/5</f>
        <v>-150000</v>
      </c>
      <c r="K22" s="56">
        <f t="shared" si="0"/>
        <v>2116666.6666666665</v>
      </c>
      <c r="L22" s="56">
        <f t="shared" si="6"/>
        <v>5000000</v>
      </c>
      <c r="M22" s="58">
        <v>5000000</v>
      </c>
      <c r="N22" s="57">
        <f>M22-0.35*(M22-L22)</f>
        <v>5000000</v>
      </c>
      <c r="O22" s="74">
        <f t="shared" si="1"/>
        <v>6366666.666666666</v>
      </c>
      <c r="Q22" s="37"/>
      <c r="R22" s="69">
        <f t="shared" si="7"/>
        <v>23369.511249011473</v>
      </c>
      <c r="S22" s="32">
        <f t="shared" si="4"/>
        <v>-23369.511249011473</v>
      </c>
      <c r="U22" s="33">
        <v>14762</v>
      </c>
      <c r="V22" s="64">
        <v>0.8</v>
      </c>
      <c r="W22" s="42">
        <v>349</v>
      </c>
      <c r="X22" s="43">
        <f t="shared" si="11"/>
        <v>6926.705790411218</v>
      </c>
      <c r="Y22" s="42">
        <v>16</v>
      </c>
      <c r="Z22" s="2">
        <f t="shared" si="8"/>
        <v>5151938</v>
      </c>
      <c r="AA22" s="2">
        <f t="shared" si="12"/>
        <v>2528247.6135000936</v>
      </c>
      <c r="AB22" s="2">
        <f t="shared" si="9"/>
        <v>1705398.7512249392</v>
      </c>
      <c r="AC22" s="44">
        <f t="shared" si="10"/>
        <v>918291.63527496718</v>
      </c>
      <c r="AE22" s="36">
        <f t="shared" si="2"/>
        <v>7261588.7906926218</v>
      </c>
      <c r="AF22" s="71">
        <f t="shared" si="3"/>
        <v>1828974.6453376547</v>
      </c>
      <c r="AG22" s="47">
        <v>17</v>
      </c>
      <c r="AH22" s="2"/>
      <c r="AI22" s="2"/>
    </row>
    <row r="23" spans="4:35" x14ac:dyDescent="0.3">
      <c r="D23" s="26">
        <v>16</v>
      </c>
      <c r="E23" s="27">
        <v>2018</v>
      </c>
      <c r="G23" s="33"/>
      <c r="H23" s="5"/>
      <c r="I23" s="2"/>
      <c r="J23" s="2"/>
      <c r="K23" s="5"/>
      <c r="L23" s="5"/>
      <c r="M23" s="2"/>
      <c r="O23" s="32"/>
      <c r="Q23" s="37"/>
      <c r="R23" s="69">
        <f t="shared" si="7"/>
        <v>24070.596586481817</v>
      </c>
      <c r="S23" s="32">
        <f t="shared" si="4"/>
        <v>-24070.596586481817</v>
      </c>
      <c r="U23" s="33">
        <v>14932</v>
      </c>
      <c r="V23" s="64">
        <v>0.8</v>
      </c>
      <c r="W23" s="42">
        <v>349</v>
      </c>
      <c r="X23" s="43">
        <f t="shared" si="11"/>
        <v>7203.7740220276673</v>
      </c>
      <c r="Y23" s="42">
        <v>16</v>
      </c>
      <c r="Z23" s="2">
        <f t="shared" si="8"/>
        <v>5211268</v>
      </c>
      <c r="AA23" s="2">
        <f t="shared" si="12"/>
        <v>2629377.5180400973</v>
      </c>
      <c r="AB23" s="2">
        <f t="shared" si="9"/>
        <v>1678228.8132739367</v>
      </c>
      <c r="AC23" s="44">
        <f t="shared" si="10"/>
        <v>903661.66868596594</v>
      </c>
      <c r="AE23" s="36">
        <f t="shared" si="2"/>
        <v>879591.07209948415</v>
      </c>
      <c r="AF23" s="71">
        <f t="shared" si="3"/>
        <v>203249.90328313923</v>
      </c>
      <c r="AG23" s="47">
        <v>18</v>
      </c>
      <c r="AH23" s="2"/>
      <c r="AI23" s="2"/>
    </row>
    <row r="24" spans="4:35" x14ac:dyDescent="0.3">
      <c r="D24" s="26">
        <v>17</v>
      </c>
      <c r="E24" s="27">
        <v>2019</v>
      </c>
      <c r="G24" s="33"/>
      <c r="H24" s="5"/>
      <c r="I24" s="2"/>
      <c r="J24" s="2"/>
      <c r="K24" s="5"/>
      <c r="L24" s="5"/>
      <c r="M24" s="2"/>
      <c r="N24" s="2"/>
      <c r="O24" s="32"/>
      <c r="Q24" s="37"/>
      <c r="R24" s="69">
        <f t="shared" si="7"/>
        <v>24792.714484076274</v>
      </c>
      <c r="S24" s="32">
        <f t="shared" si="4"/>
        <v>-24792.714484076274</v>
      </c>
      <c r="U24" s="33">
        <v>15104</v>
      </c>
      <c r="V24" s="64">
        <v>0.8</v>
      </c>
      <c r="W24" s="42">
        <v>349</v>
      </c>
      <c r="X24" s="43">
        <f t="shared" si="11"/>
        <v>7491.9249829087739</v>
      </c>
      <c r="Y24" s="42">
        <v>16</v>
      </c>
      <c r="Z24" s="2">
        <f t="shared" si="8"/>
        <v>5271296</v>
      </c>
      <c r="AA24" s="2">
        <f t="shared" si="12"/>
        <v>2734552.6187617015</v>
      </c>
      <c r="AB24" s="2">
        <f t="shared" si="9"/>
        <v>1648883.1978048941</v>
      </c>
      <c r="AC24" s="44">
        <f t="shared" si="10"/>
        <v>887860.18343340443</v>
      </c>
      <c r="AE24" s="36">
        <f t="shared" si="2"/>
        <v>863067.46894932818</v>
      </c>
      <c r="AF24" s="71">
        <f t="shared" si="3"/>
        <v>182964.9007446309</v>
      </c>
      <c r="AG24" s="47">
        <v>19</v>
      </c>
      <c r="AH24" s="2"/>
      <c r="AI24" s="2"/>
    </row>
    <row r="25" spans="4:35" x14ac:dyDescent="0.3">
      <c r="D25" s="26">
        <v>18</v>
      </c>
      <c r="E25" s="27">
        <v>2020</v>
      </c>
      <c r="G25" s="33"/>
      <c r="H25" s="5"/>
      <c r="I25" s="2"/>
      <c r="J25" s="2"/>
      <c r="K25" s="5"/>
      <c r="L25" s="5"/>
      <c r="M25" s="2"/>
      <c r="N25" s="2"/>
      <c r="O25" s="32"/>
      <c r="Q25" s="37"/>
      <c r="R25" s="69">
        <f t="shared" si="7"/>
        <v>25536.495918598564</v>
      </c>
      <c r="S25" s="32">
        <f t="shared" si="4"/>
        <v>-25536.495918598564</v>
      </c>
      <c r="U25" s="33">
        <v>15278</v>
      </c>
      <c r="V25" s="64">
        <v>0.8</v>
      </c>
      <c r="W25" s="42">
        <v>349</v>
      </c>
      <c r="X25" s="43">
        <f t="shared" si="11"/>
        <v>7791.6019822251255</v>
      </c>
      <c r="Y25" s="42">
        <v>16</v>
      </c>
      <c r="Z25" s="2">
        <f t="shared" si="8"/>
        <v>5332022</v>
      </c>
      <c r="AA25" s="2">
        <f t="shared" si="12"/>
        <v>2843934.7235121694</v>
      </c>
      <c r="AB25" s="2">
        <f t="shared" si="9"/>
        <v>1617256.72971709</v>
      </c>
      <c r="AC25" s="44">
        <f t="shared" si="10"/>
        <v>870830.54677074053</v>
      </c>
      <c r="AE25" s="36">
        <f t="shared" si="2"/>
        <v>845294.05085214193</v>
      </c>
      <c r="AF25" s="71">
        <f t="shared" si="3"/>
        <v>164400.96088711297</v>
      </c>
      <c r="AG25" s="47">
        <v>20</v>
      </c>
      <c r="AH25" s="2"/>
      <c r="AI25" s="2"/>
    </row>
    <row r="26" spans="4:35" x14ac:dyDescent="0.3">
      <c r="D26" s="26">
        <v>19</v>
      </c>
      <c r="E26" s="27">
        <v>2021</v>
      </c>
      <c r="G26" s="33"/>
      <c r="H26" s="5"/>
      <c r="I26" s="2"/>
      <c r="J26" s="2"/>
      <c r="K26" s="5"/>
      <c r="L26" s="5"/>
      <c r="M26" s="2"/>
      <c r="N26" s="2"/>
      <c r="O26" s="32"/>
      <c r="Q26" s="37"/>
      <c r="R26" s="69">
        <f t="shared" si="7"/>
        <v>26302.590796156521</v>
      </c>
      <c r="S26" s="32">
        <f t="shared" si="4"/>
        <v>-26302.590796156521</v>
      </c>
      <c r="U26" s="33">
        <v>15454</v>
      </c>
      <c r="V26" s="64">
        <v>0.8</v>
      </c>
      <c r="W26" s="42">
        <v>349</v>
      </c>
      <c r="X26" s="43">
        <f t="shared" si="11"/>
        <v>8103.2660615141313</v>
      </c>
      <c r="Y26" s="42">
        <v>16</v>
      </c>
      <c r="Z26" s="2">
        <f t="shared" si="8"/>
        <v>5393446</v>
      </c>
      <c r="AA26" s="2">
        <f t="shared" si="12"/>
        <v>2957692.1124526565</v>
      </c>
      <c r="AB26" s="2">
        <f t="shared" si="9"/>
        <v>1583240.0269057734</v>
      </c>
      <c r="AC26" s="44">
        <f t="shared" si="10"/>
        <v>852513.86064157006</v>
      </c>
      <c r="AE26" s="36">
        <f t="shared" si="2"/>
        <v>826211.26984541351</v>
      </c>
      <c r="AF26" s="71">
        <f t="shared" si="3"/>
        <v>147421.61202665386</v>
      </c>
      <c r="AG26" s="47">
        <v>21</v>
      </c>
      <c r="AH26" s="2"/>
      <c r="AI26" s="2"/>
    </row>
    <row r="27" spans="4:35" x14ac:dyDescent="0.3">
      <c r="D27" s="26">
        <v>20</v>
      </c>
      <c r="E27" s="27">
        <v>2022</v>
      </c>
      <c r="G27" s="33"/>
      <c r="H27" s="5"/>
      <c r="I27" s="2"/>
      <c r="J27" s="2"/>
      <c r="K27" s="5"/>
      <c r="L27" s="5"/>
      <c r="M27" s="2"/>
      <c r="N27" s="2"/>
      <c r="O27" s="32"/>
      <c r="Q27" s="37"/>
      <c r="R27" s="69">
        <f t="shared" si="7"/>
        <v>27091.668520041218</v>
      </c>
      <c r="S27" s="32">
        <f t="shared" si="4"/>
        <v>-27091.668520041218</v>
      </c>
      <c r="U27" s="33">
        <v>14654</v>
      </c>
      <c r="V27" s="64">
        <v>0.75</v>
      </c>
      <c r="W27" s="42">
        <v>349</v>
      </c>
      <c r="X27" s="43">
        <f t="shared" si="11"/>
        <v>8427.3967039746967</v>
      </c>
      <c r="Y27" s="42">
        <v>16</v>
      </c>
      <c r="Z27" s="2">
        <f t="shared" si="8"/>
        <v>5114246</v>
      </c>
      <c r="AA27" s="2">
        <f t="shared" si="12"/>
        <v>3075999.7969507631</v>
      </c>
      <c r="AB27" s="2">
        <f t="shared" si="9"/>
        <v>1324860.0319820039</v>
      </c>
      <c r="AC27" s="44">
        <f t="shared" si="10"/>
        <v>713386.17106723296</v>
      </c>
      <c r="AE27" s="36">
        <f t="shared" si="2"/>
        <v>686294.50254719169</v>
      </c>
      <c r="AF27" s="71">
        <f t="shared" si="3"/>
        <v>112345.08141483828</v>
      </c>
      <c r="AG27" s="47">
        <v>22</v>
      </c>
      <c r="AH27" s="2"/>
      <c r="AI27" s="2"/>
    </row>
    <row r="28" spans="4:35" x14ac:dyDescent="0.3">
      <c r="D28" s="26">
        <v>21</v>
      </c>
      <c r="E28" s="27">
        <v>2023</v>
      </c>
      <c r="G28" s="33"/>
      <c r="H28" s="5"/>
      <c r="I28" s="2"/>
      <c r="J28" s="2"/>
      <c r="K28" s="5"/>
      <c r="L28" s="5"/>
      <c r="M28" s="2"/>
      <c r="N28" s="2"/>
      <c r="O28" s="32"/>
      <c r="Q28" s="37"/>
      <c r="R28" s="69">
        <f t="shared" si="7"/>
        <v>27904.418575642456</v>
      </c>
      <c r="S28" s="32">
        <f t="shared" si="4"/>
        <v>-27904.418575642456</v>
      </c>
      <c r="U28" s="33">
        <v>14823</v>
      </c>
      <c r="V28" s="64">
        <v>0.75</v>
      </c>
      <c r="W28" s="42">
        <v>349</v>
      </c>
      <c r="X28" s="43">
        <f t="shared" si="11"/>
        <v>8764.492572133684</v>
      </c>
      <c r="Y28" s="42">
        <v>16</v>
      </c>
      <c r="Z28" s="2">
        <f t="shared" si="8"/>
        <v>5173227</v>
      </c>
      <c r="AA28" s="2">
        <f t="shared" si="12"/>
        <v>3199039.7888287939</v>
      </c>
      <c r="AB28" s="2">
        <f t="shared" si="9"/>
        <v>1283221.6872612841</v>
      </c>
      <c r="AC28" s="44">
        <f t="shared" si="10"/>
        <v>690965.52390992199</v>
      </c>
      <c r="AE28" s="36">
        <f t="shared" si="2"/>
        <v>663061.10533427959</v>
      </c>
      <c r="AF28" s="71">
        <f t="shared" si="3"/>
        <v>99579.650706850414</v>
      </c>
      <c r="AG28" s="47">
        <v>23</v>
      </c>
      <c r="AH28" s="2"/>
      <c r="AI28" s="2"/>
    </row>
    <row r="29" spans="4:35" x14ac:dyDescent="0.3">
      <c r="D29" s="26">
        <v>22</v>
      </c>
      <c r="E29" s="27">
        <v>2024</v>
      </c>
      <c r="G29" s="33"/>
      <c r="H29" s="5"/>
      <c r="I29" s="2"/>
      <c r="J29" s="2"/>
      <c r="K29" s="5"/>
      <c r="L29" s="5"/>
      <c r="M29" s="2"/>
      <c r="N29" s="2"/>
      <c r="O29" s="32"/>
      <c r="Q29" s="37"/>
      <c r="R29" s="69">
        <f t="shared" si="7"/>
        <v>28741.551132911729</v>
      </c>
      <c r="S29" s="32">
        <f t="shared" si="4"/>
        <v>-28741.551132911729</v>
      </c>
      <c r="U29" s="33">
        <v>14993</v>
      </c>
      <c r="V29" s="64">
        <v>0.75</v>
      </c>
      <c r="W29" s="42">
        <v>349</v>
      </c>
      <c r="X29" s="43">
        <f t="shared" si="11"/>
        <v>9115.0722750190325</v>
      </c>
      <c r="Y29" s="42">
        <v>16</v>
      </c>
      <c r="Z29" s="2">
        <f t="shared" si="8"/>
        <v>5232557</v>
      </c>
      <c r="AA29" s="2">
        <f t="shared" si="12"/>
        <v>3327001.380381946</v>
      </c>
      <c r="AB29" s="2">
        <f t="shared" si="9"/>
        <v>1238611.1527517352</v>
      </c>
      <c r="AC29" s="44">
        <f t="shared" si="10"/>
        <v>666944.46686631883</v>
      </c>
      <c r="AE29" s="36">
        <f t="shared" si="2"/>
        <v>638202.91573340714</v>
      </c>
      <c r="AF29" s="71">
        <f t="shared" si="3"/>
        <v>87932.481910404327</v>
      </c>
      <c r="AG29" s="47">
        <v>24</v>
      </c>
      <c r="AH29" s="2"/>
      <c r="AI29" s="2"/>
    </row>
    <row r="30" spans="4:35" x14ac:dyDescent="0.3">
      <c r="D30" s="26">
        <v>23</v>
      </c>
      <c r="E30" s="27">
        <v>2025</v>
      </c>
      <c r="G30" s="33"/>
      <c r="H30" s="5"/>
      <c r="I30" s="2"/>
      <c r="J30" s="2"/>
      <c r="K30" s="5"/>
      <c r="L30" s="5"/>
      <c r="M30" s="2"/>
      <c r="N30" s="2"/>
      <c r="O30" s="32"/>
      <c r="Q30" s="37"/>
      <c r="R30" s="69">
        <f t="shared" si="7"/>
        <v>29603.797666899081</v>
      </c>
      <c r="S30" s="32">
        <f t="shared" si="4"/>
        <v>-29603.797666899081</v>
      </c>
      <c r="U30" s="33">
        <v>15166</v>
      </c>
      <c r="V30" s="64">
        <v>0.75</v>
      </c>
      <c r="W30" s="42">
        <v>349</v>
      </c>
      <c r="X30" s="43">
        <f t="shared" si="11"/>
        <v>9479.6751660197933</v>
      </c>
      <c r="Y30" s="42">
        <v>16</v>
      </c>
      <c r="Z30" s="2">
        <f t="shared" si="8"/>
        <v>5292934</v>
      </c>
      <c r="AA30" s="2">
        <f t="shared" si="12"/>
        <v>3460081.4355972242</v>
      </c>
      <c r="AB30" s="2">
        <f t="shared" si="9"/>
        <v>1191354.1668618044</v>
      </c>
      <c r="AC30" s="44">
        <f t="shared" si="10"/>
        <v>641498.3975409714</v>
      </c>
      <c r="AE30" s="36">
        <f t="shared" si="2"/>
        <v>611894.59987407236</v>
      </c>
      <c r="AF30" s="71">
        <f t="shared" si="3"/>
        <v>77346.500645113221</v>
      </c>
      <c r="AG30" s="47">
        <v>25</v>
      </c>
      <c r="AH30" s="2"/>
      <c r="AI30" s="2"/>
    </row>
    <row r="31" spans="4:35" x14ac:dyDescent="0.3">
      <c r="D31" s="26">
        <v>24</v>
      </c>
      <c r="E31" s="27">
        <v>2026</v>
      </c>
      <c r="G31" s="33"/>
      <c r="H31" s="5"/>
      <c r="I31" s="2"/>
      <c r="J31" s="2"/>
      <c r="K31" s="5"/>
      <c r="L31" s="5"/>
      <c r="M31" s="2"/>
      <c r="N31" s="2"/>
      <c r="O31" s="32"/>
      <c r="Q31" s="37"/>
      <c r="R31" s="69">
        <f t="shared" si="7"/>
        <v>30491.911596906055</v>
      </c>
      <c r="S31" s="32">
        <f t="shared" si="4"/>
        <v>-30491.911596906055</v>
      </c>
      <c r="U31" s="33">
        <v>15341</v>
      </c>
      <c r="V31" s="64">
        <v>0.75</v>
      </c>
      <c r="W31" s="42">
        <v>349</v>
      </c>
      <c r="X31" s="43">
        <f t="shared" si="11"/>
        <v>9858.8621726605852</v>
      </c>
      <c r="Y31" s="42">
        <v>16</v>
      </c>
      <c r="Z31" s="2">
        <f t="shared" si="8"/>
        <v>5354009</v>
      </c>
      <c r="AA31" s="2">
        <f t="shared" si="12"/>
        <v>3598484.6930211131</v>
      </c>
      <c r="AB31" s="2">
        <f t="shared" si="9"/>
        <v>1141090.7995362766</v>
      </c>
      <c r="AC31" s="44">
        <f t="shared" si="10"/>
        <v>614433.50744261034</v>
      </c>
      <c r="AE31" s="36">
        <f t="shared" si="2"/>
        <v>583941.59584570432</v>
      </c>
      <c r="AF31" s="71">
        <f t="shared" si="3"/>
        <v>67718.442960546381</v>
      </c>
      <c r="AG31" s="47">
        <v>26</v>
      </c>
      <c r="AH31" s="2"/>
      <c r="AI31" s="2"/>
    </row>
    <row r="32" spans="4:35" ht="13.5" thickBot="1" x14ac:dyDescent="0.35">
      <c r="D32" s="28">
        <v>25</v>
      </c>
      <c r="E32" s="29">
        <v>2027</v>
      </c>
      <c r="G32" s="34"/>
      <c r="H32" s="76"/>
      <c r="I32" s="35"/>
      <c r="J32" s="35"/>
      <c r="K32" s="76"/>
      <c r="L32" s="76"/>
      <c r="M32" s="35"/>
      <c r="N32" s="35"/>
      <c r="O32" s="66"/>
      <c r="Q32" s="38"/>
      <c r="R32" s="70">
        <f t="shared" si="7"/>
        <v>31406.668944813238</v>
      </c>
      <c r="S32" s="66">
        <f t="shared" si="4"/>
        <v>-31406.668944813238</v>
      </c>
      <c r="U32" s="34">
        <v>13448</v>
      </c>
      <c r="V32" s="65">
        <v>0.65</v>
      </c>
      <c r="W32" s="45">
        <v>349</v>
      </c>
      <c r="X32" s="67">
        <f t="shared" si="11"/>
        <v>10253.21665956701</v>
      </c>
      <c r="Y32" s="45">
        <v>16</v>
      </c>
      <c r="Z32" s="35">
        <f t="shared" si="8"/>
        <v>4693352</v>
      </c>
      <c r="AA32" s="35">
        <f t="shared" si="12"/>
        <v>3742424.0807419578</v>
      </c>
      <c r="AB32" s="35">
        <f t="shared" si="9"/>
        <v>618103.14751772746</v>
      </c>
      <c r="AC32" s="46">
        <f t="shared" si="10"/>
        <v>332824.77174031478</v>
      </c>
      <c r="AE32" s="48">
        <f t="shared" si="2"/>
        <v>301418.10279550153</v>
      </c>
      <c r="AF32" s="72">
        <f t="shared" si="3"/>
        <v>32068.628420347803</v>
      </c>
      <c r="AG32" s="68">
        <v>27</v>
      </c>
      <c r="AH32" s="2"/>
      <c r="AI32" s="2"/>
    </row>
    <row r="33" spans="3:35" x14ac:dyDescent="0.3">
      <c r="I33" s="2"/>
      <c r="J33" s="2"/>
      <c r="U33" s="1"/>
      <c r="V33" s="1"/>
      <c r="X33" s="3"/>
      <c r="AE33" s="2" t="s">
        <v>33</v>
      </c>
      <c r="AF33" s="71">
        <f>SUM(AF5:AF22)</f>
        <v>-4973269.0063217003</v>
      </c>
      <c r="AG33" s="73"/>
      <c r="AH33" s="2"/>
      <c r="AI33" s="2"/>
    </row>
    <row r="34" spans="3:35" ht="18" x14ac:dyDescent="0.4">
      <c r="C34" s="78"/>
      <c r="D34" s="81" t="s">
        <v>34</v>
      </c>
      <c r="E34" s="81"/>
      <c r="F34" s="81"/>
      <c r="G34" s="81"/>
      <c r="H34" s="81"/>
      <c r="J34" s="2"/>
      <c r="U34" s="1"/>
      <c r="V34" s="1"/>
      <c r="X34" s="3" t="s">
        <v>32</v>
      </c>
      <c r="AH34" s="2"/>
      <c r="AI34" s="2"/>
    </row>
    <row r="35" spans="3:35" x14ac:dyDescent="0.3">
      <c r="J35" s="2"/>
      <c r="U35" s="1"/>
      <c r="V35" s="1"/>
      <c r="X35" s="3"/>
      <c r="AE35" s="2"/>
      <c r="AH35" s="2"/>
      <c r="AI35" s="2"/>
    </row>
    <row r="36" spans="3:35" x14ac:dyDescent="0.3">
      <c r="J36" s="2"/>
      <c r="U36" s="1"/>
      <c r="V36" s="1"/>
      <c r="X36" s="3"/>
      <c r="AH36" s="2"/>
      <c r="AI36" s="2"/>
    </row>
    <row r="37" spans="3:35" x14ac:dyDescent="0.3">
      <c r="U37" s="7"/>
      <c r="V37" s="7"/>
      <c r="X37" s="3"/>
      <c r="AE37" s="2"/>
      <c r="AH37" s="2"/>
      <c r="AI37" s="2"/>
    </row>
    <row r="38" spans="3:35" x14ac:dyDescent="0.3">
      <c r="U38" s="1"/>
      <c r="V38" s="1"/>
      <c r="X38" s="3"/>
      <c r="AH38" s="2"/>
      <c r="AI38" s="2"/>
    </row>
    <row r="39" spans="3:35" x14ac:dyDescent="0.3">
      <c r="U39" s="6"/>
      <c r="V39" s="6"/>
      <c r="X39" s="6"/>
      <c r="AH39" s="2"/>
      <c r="AI39" s="2"/>
    </row>
    <row r="40" spans="3:35" x14ac:dyDescent="0.3">
      <c r="U40" s="1"/>
      <c r="V40" s="1"/>
      <c r="X40" s="3"/>
      <c r="AH40" s="2"/>
      <c r="AI40" s="2"/>
    </row>
    <row r="42" spans="3:35" x14ac:dyDescent="0.3">
      <c r="AI42" s="2"/>
    </row>
    <row r="44" spans="3:35" x14ac:dyDescent="0.3">
      <c r="AI44" s="2"/>
    </row>
  </sheetData>
  <mergeCells count="4">
    <mergeCell ref="G1:O1"/>
    <mergeCell ref="Q1:S1"/>
    <mergeCell ref="U1:AC1"/>
    <mergeCell ref="D34:H34"/>
  </mergeCells>
  <pageMargins left="0.7" right="0.7" top="0.75" bottom="0.75" header="0.3" footer="0.3"/>
  <pageSetup scale="70" fitToWidth="2" orientation="landscape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87DB220774184ABA698A5ED35CC618" ma:contentTypeVersion="12" ma:contentTypeDescription="Create a new document." ma:contentTypeScope="" ma:versionID="a004d807482db51e2adf194f8e3eee7f">
  <xsd:schema xmlns:xsd="http://www.w3.org/2001/XMLSchema" xmlns:xs="http://www.w3.org/2001/XMLSchema" xmlns:p="http://schemas.microsoft.com/office/2006/metadata/properties" xmlns:ns3="9e7b9af8-6d3b-43eb-9a8f-c900407edbca" xmlns:ns4="047b6a8a-2804-4116-bebb-2c5cd2db94b5" targetNamespace="http://schemas.microsoft.com/office/2006/metadata/properties" ma:root="true" ma:fieldsID="711d376bebe4cafd0eb4b8d7a339eadd" ns3:_="" ns4:_="">
    <xsd:import namespace="9e7b9af8-6d3b-43eb-9a8f-c900407edbca"/>
    <xsd:import namespace="047b6a8a-2804-4116-bebb-2c5cd2db94b5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7b9af8-6d3b-43eb-9a8f-c900407edbca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7b6a8a-2804-4116-bebb-2c5cd2db94b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e7b9af8-6d3b-43eb-9a8f-c900407edbca" xsi:nil="true"/>
  </documentManagement>
</p:properties>
</file>

<file path=customXml/itemProps1.xml><?xml version="1.0" encoding="utf-8"?>
<ds:datastoreItem xmlns:ds="http://schemas.openxmlformats.org/officeDocument/2006/customXml" ds:itemID="{0DA1DC17-D49A-4049-A42D-41D57EACB9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7b9af8-6d3b-43eb-9a8f-c900407edbca"/>
    <ds:schemaRef ds:uri="047b6a8a-2804-4116-bebb-2c5cd2db94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00CE93-3272-4E68-B137-5660C682B30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784BDA-4FD3-4F82-ADF2-76153B951206}">
  <ds:schemaRefs>
    <ds:schemaRef ds:uri="http://schemas.microsoft.com/office/2006/documentManagement/types"/>
    <ds:schemaRef ds:uri="http://purl.org/dc/terms/"/>
    <ds:schemaRef ds:uri="http://schemas.microsoft.com/office/2006/metadata/properties"/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  <ds:schemaRef ds:uri="9e7b9af8-6d3b-43eb-9a8f-c900407edbca"/>
    <ds:schemaRef ds:uri="047b6a8a-2804-4116-bebb-2c5cd2db94b5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25 year</vt:lpstr>
      <vt:lpstr>15 year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 &amp; J</dc:creator>
  <cp:keywords/>
  <dc:description/>
  <cp:lastModifiedBy>Braddy, Aliya</cp:lastModifiedBy>
  <cp:revision/>
  <dcterms:created xsi:type="dcterms:W3CDTF">2007-09-22T18:18:28Z</dcterms:created>
  <dcterms:modified xsi:type="dcterms:W3CDTF">2026-03-14T17:07:21Z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0x0101006887DB220774184ABA698A5ED35CC618</vt:lpwstr>
  </property>
</Properties>
</file>